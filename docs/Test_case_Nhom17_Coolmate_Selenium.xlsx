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K1_N3\ktpm\btl\"/>
    </mc:Choice>
  </mc:AlternateContent>
  <xr:revisionPtr revIDLastSave="0" documentId="13_ncr:1_{BAFF6D66-A637-4B4D-A4A3-65207432199A}" xr6:coauthVersionLast="47" xr6:coauthVersionMax="47" xr10:uidLastSave="{00000000-0000-0000-0000-000000000000}"/>
  <bookViews>
    <workbookView xWindow="-120" yWindow="-120" windowWidth="29040" windowHeight="16440" tabRatio="500" xr2:uid="{00000000-000D-0000-FFFF-FFFF00000000}"/>
  </bookViews>
  <sheets>
    <sheet name="Bang_Thiet_Ke_Ca_Kiem_Thu" sheetId="1" r:id="rId1"/>
    <sheet name="Tong_hop" sheetId="2" r:id="rId2"/>
    <sheet name="Quy_uoc" sheetId="3" r:id="rId3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I21" i="2" l="1"/>
  <c r="G21" i="2"/>
  <c r="I20" i="2"/>
  <c r="H20" i="2"/>
  <c r="G20" i="2"/>
  <c r="E20" i="2"/>
  <c r="D20" i="2"/>
  <c r="D21" i="2" s="1"/>
  <c r="C20" i="2"/>
  <c r="F20" i="2" s="1"/>
  <c r="B20" i="2"/>
  <c r="I19" i="2"/>
  <c r="H19" i="2"/>
  <c r="G19" i="2"/>
  <c r="E19" i="2"/>
  <c r="D19" i="2"/>
  <c r="C19" i="2"/>
  <c r="F19" i="2" s="1"/>
  <c r="B19" i="2"/>
  <c r="I18" i="2"/>
  <c r="H18" i="2"/>
  <c r="H21" i="2" s="1"/>
  <c r="G18" i="2"/>
  <c r="E18" i="2"/>
  <c r="D18" i="2"/>
  <c r="C18" i="2"/>
  <c r="F18" i="2" s="1"/>
  <c r="B18" i="2"/>
  <c r="I17" i="2"/>
  <c r="H17" i="2"/>
  <c r="G17" i="2"/>
  <c r="E17" i="2"/>
  <c r="D17" i="2"/>
  <c r="C17" i="2"/>
  <c r="F17" i="2" s="1"/>
  <c r="B17" i="2"/>
  <c r="I16" i="2"/>
  <c r="H16" i="2"/>
  <c r="G16" i="2"/>
  <c r="E16" i="2"/>
  <c r="D16" i="2"/>
  <c r="C16" i="2"/>
  <c r="F16" i="2" s="1"/>
  <c r="B16" i="2"/>
  <c r="B21" i="2" s="1"/>
  <c r="B4" i="2" s="1"/>
  <c r="I15" i="2"/>
  <c r="H15" i="2"/>
  <c r="G15" i="2"/>
  <c r="E15" i="2"/>
  <c r="D15" i="2"/>
  <c r="C15" i="2"/>
  <c r="F15" i="2" s="1"/>
  <c r="B15" i="2"/>
  <c r="I14" i="2"/>
  <c r="H14" i="2"/>
  <c r="G14" i="2"/>
  <c r="E14" i="2"/>
  <c r="D14" i="2"/>
  <c r="C14" i="2"/>
  <c r="F14" i="2" s="1"/>
  <c r="B14" i="2"/>
  <c r="I13" i="2"/>
  <c r="H13" i="2"/>
  <c r="G13" i="2"/>
  <c r="E13" i="2"/>
  <c r="E21" i="2" s="1"/>
  <c r="D13" i="2"/>
  <c r="C13" i="2"/>
  <c r="F13" i="2" s="1"/>
  <c r="B13" i="2"/>
  <c r="I12" i="2"/>
  <c r="H12" i="2"/>
  <c r="G12" i="2"/>
  <c r="E12" i="2"/>
  <c r="D12" i="2"/>
  <c r="C12" i="2"/>
  <c r="F12" i="2" s="1"/>
  <c r="B12" i="2"/>
  <c r="I11" i="2"/>
  <c r="H11" i="2"/>
  <c r="G11" i="2"/>
  <c r="F11" i="2"/>
  <c r="E11" i="2"/>
  <c r="D11" i="2"/>
  <c r="C11" i="2"/>
  <c r="B11" i="2"/>
  <c r="I10" i="2"/>
  <c r="H10" i="2"/>
  <c r="G10" i="2"/>
  <c r="E10" i="2"/>
  <c r="D10" i="2"/>
  <c r="C10" i="2"/>
  <c r="B10" i="2"/>
  <c r="B7" i="2"/>
  <c r="B6" i="2"/>
  <c r="B5" i="2"/>
  <c r="E4" i="2"/>
  <c r="C21" i="2" l="1"/>
  <c r="F21" i="2" s="1"/>
  <c r="F10" i="2"/>
  <c r="E6" i="2"/>
  <c r="E5" i="2"/>
</calcChain>
</file>

<file path=xl/sharedStrings.xml><?xml version="1.0" encoding="utf-8"?>
<sst xmlns="http://schemas.openxmlformats.org/spreadsheetml/2006/main" count="1171" uniqueCount="575">
  <si>
    <t>Test Case ID</t>
  </si>
  <si>
    <t>Test Case</t>
  </si>
  <si>
    <t>Test Data</t>
  </si>
  <si>
    <t>Expected Results</t>
  </si>
  <si>
    <t>Actual Results</t>
  </si>
  <si>
    <t>Pass/Fail</t>
  </si>
  <si>
    <t>Kỹ thuật</t>
  </si>
  <si>
    <t>Ưu tiên</t>
  </si>
  <si>
    <t>Loại</t>
  </si>
  <si>
    <t>Phụ trách</t>
  </si>
  <si>
    <t>Ngày chạy</t>
  </si>
  <si>
    <t>Bug ID</t>
  </si>
  <si>
    <t>Ghi chú / Evidence</t>
  </si>
  <si>
    <t>1. Chức năng đăng ký tài khoản (Bảng 4.7)</t>
  </si>
  <si>
    <t>REG-01</t>
  </si>
  <si>
    <t>Đăng ký với thông tin hợp lệ</t>
  </si>
  <si>
    <t>họ tên: Nguyen Van Test
email: nhom17.test+reg01@gmail.com (chưa dùng)
SĐT: 09xxxxxxxx
mật khẩu: Test@12345</t>
  </si>
  <si>
    <t>Tạo tài khoản thành công, chuyển sang trạng thái đã đăng nhập hoặc yêu cầu xác thực</t>
  </si>
  <si>
    <t>Chưa thực hiện</t>
  </si>
  <si>
    <t>EP</t>
  </si>
  <si>
    <t>H</t>
  </si>
  <si>
    <t>A+M</t>
  </si>
  <si>
    <t>TV2</t>
  </si>
  <si>
    <t>REG-02</t>
  </si>
  <si>
    <t>Để trống toàn bộ các trường rồi gửi</t>
  </si>
  <si>
    <t>Tất cả các trường: [trống]</t>
  </si>
  <si>
    <t>Không gửi được; báo lỗi ở từng trường bắt buộc</t>
  </si>
  <si>
    <t>A</t>
  </si>
  <si>
    <t>REG-03</t>
  </si>
  <si>
    <t>Để trống từng trường bắt buộc</t>
  </si>
  <si>
    <t>Lần lượt để trống: họ tên / email-SĐT / mật khẩu; các trường còn lại hợp lệ (parametrize)</t>
  </si>
  <si>
    <t>Báo lỗi đúng trường bị bỏ trống</t>
  </si>
  <si>
    <t>REG-04</t>
  </si>
  <si>
    <t>Email sai định dạng</t>
  </si>
  <si>
    <t>email: abc | abc@ | @gmail.com | a b@x.com | a@x (parametrize)</t>
  </si>
  <si>
    <t>Báo lỗi định dạng email, không tạo tài khoản</t>
  </si>
  <si>
    <t>REG-05</t>
  </si>
  <si>
    <t>SĐT sai định dạng (*)</t>
  </si>
  <si>
    <t>SĐT: 09abc12345 | 090123456 (thiếu số) | 09012345678901 (thừa số) | 1234567890 (không bắt đầu bằng 0) (parametrize)</t>
  </si>
  <si>
    <t>Báo lỗi định dạng SĐT, không tạo tài khoản</t>
  </si>
  <si>
    <t>EP, BVA</t>
  </si>
  <si>
    <t>REG-06</t>
  </si>
  <si>
    <t>Đăng ký bằng email đã tồn tại</t>
  </si>
  <si>
    <t>email: email của tài khoản đã tạo ở REG-01</t>
  </si>
  <si>
    <t>Báo email đã được sử dụng</t>
  </si>
  <si>
    <t>REG-07</t>
  </si>
  <si>
    <t>Đăng ký bằng SĐT đã tồn tại</t>
  </si>
  <si>
    <t>SĐT: SĐT của tài khoản test có sẵn</t>
  </si>
  <si>
    <t>Báo SĐT đã được sử dụng</t>
  </si>
  <si>
    <t>M</t>
  </si>
  <si>
    <t>REG-08</t>
  </si>
  <si>
    <t>Mật khẩu ngắn hơn tối thiểu 1 ký tự (*)</t>
  </si>
  <si>
    <t>Độ dài mật khẩu = min−1 (min xác nhận trên site ở Ngày 1)</t>
  </si>
  <si>
    <t>Báo lỗi độ dài mật khẩu</t>
  </si>
  <si>
    <t>BVA</t>
  </si>
  <si>
    <t>REG-09</t>
  </si>
  <si>
    <t>Mật khẩu đúng bằng độ dài tối thiểu và min+1 (*)</t>
  </si>
  <si>
    <t>Độ dài mật khẩu = min; min+1</t>
  </si>
  <si>
    <t>Chấp nhận mật khẩu, đăng ký được</t>
  </si>
  <si>
    <t>REG-10</t>
  </si>
  <si>
    <t>Mật khẩu xác nhận không khớp</t>
  </si>
  <si>
    <t>mật khẩu: Test@12345
xác nhận: Test@54321 (nếu form có trường này)</t>
  </si>
  <si>
    <t>Báo lỗi mật khẩu xác nhận không khớp</t>
  </si>
  <si>
    <t>REG-11</t>
  </si>
  <si>
    <t>Họ tên có số, ký tự đặc biệt, khoảng trắng đầu-cuối, tiếng Việt có dấu</t>
  </si>
  <si>
    <t>họ tên: Nguyen123 | @@@ | "  An  " | Trần Thị Ánh Tuyết</t>
  </si>
  <si>
    <t>Hành vi nhất quán: chấp nhận hoặc báo lỗi rõ ràng; dấu hiển thị đúng</t>
  </si>
  <si>
    <t>ET</t>
  </si>
  <si>
    <t>L</t>
  </si>
  <si>
    <t>REG-12</t>
  </si>
  <si>
    <t>Họ tên/email dài vượt giới hạn (*)</t>
  </si>
  <si>
    <t>Chuỗi dài max+1 ký tự ở họ tên và email</t>
  </si>
  <si>
    <t>Báo lỗi hoặc cắt chuỗi, không vỡ giao diện</t>
  </si>
  <si>
    <t>REG-13</t>
  </si>
  <si>
    <t>Luồng xác thực OTP/email sau đăng ký (nếu site có)</t>
  </si>
  <si>
    <t>Nhập mã đúng; nhập mã sai</t>
  </si>
  <si>
    <t>Mã đúng → kích hoạt tài khoản; mã sai → báo lỗi. Có thể chuyển Blocked nếu có OTP/CAPTCHA</t>
  </si>
  <si>
    <t>ST</t>
  </si>
  <si>
    <t>REG-14</t>
  </si>
  <si>
    <t>Nút ẩn/hiện mật khẩu và thông báo lỗi tiếng Việt</t>
  </si>
  <si>
    <t>Nhập mật khẩu → bấm biểu tượng mắt; kích hoạt một số lỗi validation</t>
  </si>
  <si>
    <t>Ẩn/hiện đúng; thông báo lỗi rõ ràng, dễ hiểu</t>
  </si>
  <si>
    <t>UC</t>
  </si>
  <si>
    <t>2. Chức năng đăng nhập, đăng xuất, quên mật khẩu (Bảng 4.8)</t>
  </si>
  <si>
    <t>LOG-01</t>
  </si>
  <si>
    <t>Đăng nhập hợp lệ bằng Email</t>
  </si>
  <si>
    <t>Đăng nhập thành công, hiển thị tên/trang cá nhân</t>
  </si>
  <si>
    <t>LOG-02</t>
  </si>
  <si>
    <t>Đăng nhập hợp lệ bằng SĐT</t>
  </si>
  <si>
    <t>Đăng nhập thành công</t>
  </si>
  <si>
    <t>LOG-03</t>
  </si>
  <si>
    <t>Đúng email, sai mật khẩu</t>
  </si>
  <si>
    <t>email: đúng
mật khẩu: Sai@99999</t>
  </si>
  <si>
    <t>Báo lỗi thông tin đăng nhập, không vào hệ thống</t>
  </si>
  <si>
    <t>LOG-04</t>
  </si>
  <si>
    <t>Email/SĐT không tồn tại</t>
  </si>
  <si>
    <t>email: khongtontai_nhom17@example.com / SĐT: 0900000000</t>
  </si>
  <si>
    <t>Báo lỗi phù hợp, không tiết lộ quá mức</t>
  </si>
  <si>
    <t>LOG-05</t>
  </si>
  <si>
    <t>Để trống cả email/SĐT và mật khẩu</t>
  </si>
  <si>
    <t>email/SĐT: [trống]; mật khẩu: [trống]</t>
  </si>
  <si>
    <t>Báo lỗi bắt buộc nhập</t>
  </si>
  <si>
    <t>LOG-06</t>
  </si>
  <si>
    <t>Chỉ để trống mật khẩu</t>
  </si>
  <si>
    <t>email: đúng; mật khẩu: [trống]</t>
  </si>
  <si>
    <t>Báo lỗi tại trường mật khẩu</t>
  </si>
  <si>
    <t>LOG-07</t>
  </si>
  <si>
    <t>Chỉ để trống email/SĐT</t>
  </si>
  <si>
    <t>email/SĐT: [trống]; mật khẩu: đúng</t>
  </si>
  <si>
    <t>Báo lỗi tại trường định danh</t>
  </si>
  <si>
    <t>LOG-08</t>
  </si>
  <si>
    <t>Email sai định dạng; khoảng trắng đầu/cuối</t>
  </si>
  <si>
    <t>email: abc | abc@ | "  email_hop_le  " (parametrize)</t>
  </si>
  <si>
    <t>Báo lỗi định dạng hoặc tự trim và đăng nhập được</t>
  </si>
  <si>
    <t>EP, ET</t>
  </si>
  <si>
    <t>LOG-09</t>
  </si>
  <si>
    <t>Phân biệt hoa/thường của email và mật khẩu</t>
  </si>
  <si>
    <t>email: viết HOA toàn bộ; mật khẩu: đổi hoa/thường 1 ký tự</t>
  </si>
  <si>
    <t>Email không phân biệt hoa/thường; mật khẩu có phân biệt</t>
  </si>
  <si>
    <t>LOG-10</t>
  </si>
  <si>
    <t>Nhập sai mật khẩu liên tiếp 5 lần</t>
  </si>
  <si>
    <t>Dùng tài khoản dành riêng cho LOG-10; sai mật khẩu 5 lần</t>
  </si>
  <si>
    <t>Ghi nhận cơ chế của site: khóa tạm / CAPTCHA / chỉ báo lỗi</t>
  </si>
  <si>
    <t>LOG-11</t>
  </si>
  <si>
    <t>Ẩn/hiện mật khẩu</t>
  </si>
  <si>
    <t>Nhập mật khẩu → bấm biểu tượng mắt</t>
  </si>
  <si>
    <t>Hiển thị/ẩn đúng</t>
  </si>
  <si>
    <t>LOG-12</t>
  </si>
  <si>
    <t>Đăng xuất</t>
  </si>
  <si>
    <t>Đăng nhập → bấm Đăng xuất → bấm nút Back của trình duyệt</t>
  </si>
  <si>
    <t>Về trạng thái chưa đăng nhập; Back không vào lại được trang cá nhân</t>
  </si>
  <si>
    <t>LOG-13</t>
  </si>
  <si>
    <t>Reload trang / mở tab mới sau khi đăng nhập</t>
  </si>
  <si>
    <t>Đăng nhập → F5; mở tab mới truy cập coolmate.me</t>
  </si>
  <si>
    <t>Phiên được giữ (hoặc theo đúng chính sách của site)</t>
  </si>
  <si>
    <t>LOG-14</t>
  </si>
  <si>
    <t>Quên mật khẩu</t>
  </si>
  <si>
    <t>email: hợp lệ (email của nhóm) | không tồn tại | [trống]</t>
  </si>
  <si>
    <t>Thông báo gửi hướng dẫn / báo lỗi tương ứng (chỉ dùng email của nhóm)</t>
  </si>
  <si>
    <t>3. Chức năng tìm kiếm sản phẩm (Bảng 4.9)</t>
  </si>
  <si>
    <t>SRC-01</t>
  </si>
  <si>
    <t>Tìm theo từ khóa tên sản phẩm</t>
  </si>
  <si>
    <t>từ khóa: áo thun</t>
  </si>
  <si>
    <t>Danh sách sản phẩm liên quan; tên chứa/liên quan từ khóa</t>
  </si>
  <si>
    <t>TV3</t>
  </si>
  <si>
    <t>SRC-02</t>
  </si>
  <si>
    <t>Tìm với nhiều từ khóa khác nhau</t>
  </si>
  <si>
    <t>từ khóa: quần short | áo polo | váy (parametrize)</t>
  </si>
  <si>
    <t>Kết quả phù hợp với từng từ khóa</t>
  </si>
  <si>
    <t>SRC-03</t>
  </si>
  <si>
    <t>Tìm không dấu so với có dấu</t>
  </si>
  <si>
    <t>từ khóa: ao thun so với áo thun</t>
  </si>
  <si>
    <t>Kết quả tương đương (hoặc ghi nhận khác biệt)</t>
  </si>
  <si>
    <t>SRC-04</t>
  </si>
  <si>
    <t>Tìm với chữ HOA/thường/lẫn lộn</t>
  </si>
  <si>
    <t>từ khóa: ÁO THUN | Áo Thun | áo thun</t>
  </si>
  <si>
    <t>Kết quả giống nhau</t>
  </si>
  <si>
    <t>SRC-05</t>
  </si>
  <si>
    <t>Từ khóa không tồn tại</t>
  </si>
  <si>
    <t>từ khóa: asdfghjk</t>
  </si>
  <si>
    <t>Thông báo "không tìm thấy", trang không lỗi</t>
  </si>
  <si>
    <t>SRC-06</t>
  </si>
  <si>
    <t>Để trống ô tìm kiếm rồi tìm</t>
  </si>
  <si>
    <t>từ khóa: [trống]</t>
  </si>
  <si>
    <t>Không lỗi; không điều hướng sai</t>
  </si>
  <si>
    <t>SRC-07</t>
  </si>
  <si>
    <t>Chỉ nhập khoảng trắng</t>
  </si>
  <si>
    <t>từ khóa: "   "</t>
  </si>
  <si>
    <t>Xử lý như trống</t>
  </si>
  <si>
    <t>SRC-08</t>
  </si>
  <si>
    <t>Ký tự đặc biệt, số, emoji</t>
  </si>
  <si>
    <t>từ khóa: 12345 | &lt;&gt;"'% | 😀 (parametrize)</t>
  </si>
  <si>
    <t>Không vỡ giao diện, không lỗi 5xx (chỉ kiểm tra tính ổn định, không phải kiểm thử bảo mật)</t>
  </si>
  <si>
    <t>SRC-09</t>
  </si>
  <si>
    <t>Tìm theo màu / size / mã sản phẩm</t>
  </si>
  <si>
    <t>từ khóa: áo thun đen | size L | mã SP có sẵn</t>
  </si>
  <si>
    <t>Kết quả phản ánh thuộc tính, hoặc ghi nhận site không hỗ trợ</t>
  </si>
  <si>
    <t>SRC-10</t>
  </si>
  <si>
    <t>Hiển thị kết quả: ảnh, tên, giá, nhãn</t>
  </si>
  <si>
    <t>Thực hiện tìm kiếm bất kỳ có kết quả</t>
  </si>
  <si>
    <t>Đủ ảnh, tên, giá (định dạng VNĐ), nhãn New/Best Seller/Sale</t>
  </si>
  <si>
    <t>SRC-11</t>
  </si>
  <si>
    <t>Thời gian phản hồi tìm kiếm</t>
  </si>
  <si>
    <t>5 từ khóa × 3 lần đo (đo bằng Selenium)</t>
  </si>
  <si>
    <t>Trung bình ≤ 3 giây (theo yêu cầu phi chức năng)</t>
  </si>
  <si>
    <t>—</t>
  </si>
  <si>
    <t>SRC-12</t>
  </si>
  <si>
    <t>Từ khóa rất dài</t>
  </si>
  <si>
    <t>từ khóa: chuỗi ≥ 200 ký tự</t>
  </si>
  <si>
    <t>Không lỗi; kết quả rỗng hoặc bị giới hạn</t>
  </si>
  <si>
    <t>SRC-13</t>
  </si>
  <si>
    <t>Gợi ý tự động (autocomplete) khi gõ (nếu có)</t>
  </si>
  <si>
    <t>Gõ dần "áo", "quần"</t>
  </si>
  <si>
    <t>Danh sách gợi ý liên quan; chọn gợi ý → đúng trang</t>
  </si>
  <si>
    <t>4. Chức năng lọc, sắp xếp, duyệt danh mục (Bảng 4.10)</t>
  </si>
  <si>
    <t>FLT-01</t>
  </si>
  <si>
    <t>Xem danh sách theo danh mục</t>
  </si>
  <si>
    <t>Chọn lần lượt các danh mục trên menu (Áo, Quần, …)</t>
  </si>
  <si>
    <t>Đúng danh mục, có sản phẩm</t>
  </si>
  <si>
    <t>FLT-02</t>
  </si>
  <si>
    <t>Lọc theo khoảng giá, giá trị biên (*)</t>
  </si>
  <si>
    <t>Khoảng giá: min, max, min−1, max+1</t>
  </si>
  <si>
    <t>Chỉ hiển thị sản phẩm trong khoảng; biên xử lý đúng</t>
  </si>
  <si>
    <t>FLT-03</t>
  </si>
  <si>
    <t>Lọc theo màu</t>
  </si>
  <si>
    <t>Lần lượt từng màu: đen, trắng, xanh… (parametrize)</t>
  </si>
  <si>
    <t>Mọi sản phẩm hiển thị có màu đó</t>
  </si>
  <si>
    <t>FLT-04</t>
  </si>
  <si>
    <t>Lọc theo size</t>
  </si>
  <si>
    <t>Lần lượt size: S, M, L, XL (parametrize)</t>
  </si>
  <si>
    <t>Mọi sản phẩm hiển thị có size đó</t>
  </si>
  <si>
    <t>FLT-05</t>
  </si>
  <si>
    <t>Lọc kết hợp nhiều tiêu chí</t>
  </si>
  <si>
    <t>danh mục: Áo; giá: 200.000–400.000; màu: đen; size: L</t>
  </si>
  <si>
    <t>Kết quả thỏa đồng thời mọi tiêu chí</t>
  </si>
  <si>
    <t>DT</t>
  </si>
  <si>
    <t>FLT-06</t>
  </si>
  <si>
    <t>Bỏ chọn / Xóa bộ lọc</t>
  </si>
  <si>
    <t>Đã áp bộ lọc → bấm Xóa bộ lọc</t>
  </si>
  <si>
    <t>Trở về danh sách ban đầu</t>
  </si>
  <si>
    <t>FLT-07</t>
  </si>
  <si>
    <t>Tổ hợp lọc không có kết quả</t>
  </si>
  <si>
    <t>Tổ hợp tiêu chí mâu thuẫn (giá thấp + sản phẩm đắt)</t>
  </si>
  <si>
    <t>Thông báo rỗng, không lỗi</t>
  </si>
  <si>
    <t>FLT-08</t>
  </si>
  <si>
    <t>Sắp xếp giá tăng dần</t>
  </si>
  <si>
    <t>Chọn sắp xếp: giá tăng dần; đọc dãy giá thực tế</t>
  </si>
  <si>
    <t>Giá tăng, không có giá nào giảm</t>
  </si>
  <si>
    <t>FLT-09</t>
  </si>
  <si>
    <t>Sắp xếp giá giảm dần</t>
  </si>
  <si>
    <t>Chọn sắp xếp: giá giảm dần</t>
  </si>
  <si>
    <t>Giá giảm, không có giá nào tăng</t>
  </si>
  <si>
    <t>FLT-10</t>
  </si>
  <si>
    <t>Sắp xếp mới nhất / bán chạy (nếu có)</t>
  </si>
  <si>
    <t>Chọn sắp xếp: Mới nhất; Bán chạy</t>
  </si>
  <si>
    <t>Thứ tự hợp lý, nhãn khớp</t>
  </si>
  <si>
    <t>FLT-11</t>
  </si>
  <si>
    <t>Giữ bộ lọc khi phân trang / tải thêm</t>
  </si>
  <si>
    <t>Áp bộ lọc → cuộn/bấm tải thêm hoặc sang trang 2</t>
  </si>
  <si>
    <t>Bộ lọc không bị mất</t>
  </si>
  <si>
    <t>FLT-12</t>
  </si>
  <si>
    <t>Lọc + sắp xếp cùng lúc, reload trang</t>
  </si>
  <si>
    <t>Áp lọc + sắp xếp → F5 (trạng thái giữ qua URL)</t>
  </si>
  <si>
    <t>Kết quả nhất quán sau khi reload</t>
  </si>
  <si>
    <t>5. Chức năng xem chi tiết sản phẩm (Bảng 4.11)</t>
  </si>
  <si>
    <t>PDP-01</t>
  </si>
  <si>
    <t>Mở trang chi tiết sản phẩm còn hàng</t>
  </si>
  <si>
    <t>Một sản phẩm còn hàng bất kỳ</t>
  </si>
  <si>
    <t>Hiển thị đủ: tên, mã SP, giá, hình ảnh, mô tả, size, sản phẩm gợi ý</t>
  </si>
  <si>
    <t>PDP-02</t>
  </si>
  <si>
    <t>Đổi màu sản phẩm</t>
  </si>
  <si>
    <t>Chọn lần lượt các màu của sản phẩm</t>
  </si>
  <si>
    <t>Ảnh/giá/size theo màu cập nhật đúng</t>
  </si>
  <si>
    <t>PDP-03</t>
  </si>
  <si>
    <t>Chọn từng size</t>
  </si>
  <si>
    <t>Chọn lần lượt S, M, L…; rồi đổi lựa chọn</t>
  </si>
  <si>
    <t>Size được chọn nổi bật; có thể đổi lựa chọn</t>
  </si>
  <si>
    <t>PDP-04</t>
  </si>
  <si>
    <t>Size/màu hết hàng</t>
  </si>
  <si>
    <t>Sản phẩm có size/màu hết hàng</t>
  </si>
  <si>
    <t>Tự động vô hiệu hóa, không chọn được</t>
  </si>
  <si>
    <t>PDP-05</t>
  </si>
  <si>
    <t>Thêm vào giỏ khi chưa chọn size/màu</t>
  </si>
  <si>
    <t>Không chọn size/màu → bấm Thêm vào giỏ</t>
  </si>
  <si>
    <t>Hiển thị yêu cầu chọn; không thêm vào giỏ</t>
  </si>
  <si>
    <t>PDP-06</t>
  </si>
  <si>
    <t>Kiểm tra trường số lượng (*)</t>
  </si>
  <si>
    <t>Số lượng: 1 | 2 | 5 | 0 | -1 | 99999 | abc (parametrize)</t>
  </si>
  <si>
    <t>Giá trị hợp lệ được nhận; không hợp lệ bị chặn/báo lỗi</t>
  </si>
  <si>
    <t>PDP-07</t>
  </si>
  <si>
    <t>Hiển thị sản phẩm đang sale</t>
  </si>
  <si>
    <t>Sản phẩm có nhãn Sale</t>
  </si>
  <si>
    <t>Có giá gốc, giá giảm, % giảm; giá giảm &lt; giá gốc</t>
  </si>
  <si>
    <t>PDP-08</t>
  </si>
  <si>
    <t>Thư viện ảnh</t>
  </si>
  <si>
    <t>Chuyển ảnh, phóng to</t>
  </si>
  <si>
    <t>Hoạt động đúng, ảnh tải được</t>
  </si>
  <si>
    <t>PDP-09</t>
  </si>
  <si>
    <t>Sản phẩm gợi ý / combo</t>
  </si>
  <si>
    <t>Bấm vào một sản phẩm gợi ý</t>
  </si>
  <si>
    <t>Mở đúng sản phẩm</t>
  </si>
  <si>
    <t>PDP-10</t>
  </si>
  <si>
    <t>Bảng hướng dẫn chọn size (nếu có)</t>
  </si>
  <si>
    <t>Bấm Hướng dẫn chọn size</t>
  </si>
  <si>
    <t>Mở/đóng đúng, nội dung đọc được</t>
  </si>
  <si>
    <t>6. Giao diện và tương thích (mục 4.2.8)</t>
  </si>
  <si>
    <t>UI-01</t>
  </si>
  <si>
    <t>Truy cập trang chủ trên Chrome (TC01)</t>
  </si>
  <si>
    <t>URL: https://www.coolmate.me (Chrome)</t>
  </si>
  <si>
    <t>Trang chủ hiển thị đầy đủ, tiêu đề đúng, không lỗi console nghiêm trọng</t>
  </si>
  <si>
    <t>UI-02</t>
  </si>
  <si>
    <t>Đổi kích thước cửa sổ</t>
  </si>
  <si>
    <t>1920×1080 | 1366×768 | 768×1024 | 375×812 (chụp màn hình từng cỡ)</t>
  </si>
  <si>
    <t>Bố cục tự điều chỉnh, không tràn ngang, nút không bị che</t>
  </si>
  <si>
    <t>UI-03</t>
  </si>
  <si>
    <t>Thao tác ở độ phân giải mobile</t>
  </si>
  <si>
    <t>Cỡ 375×812: mở menu hamburger, tìm kiếm, giỏ hàng</t>
  </si>
  <si>
    <t>Thao tác được bình thường</t>
  </si>
  <si>
    <t>UI-04</t>
  </si>
  <si>
    <t>Nhãn New / Best Seller / Sale</t>
  </si>
  <si>
    <t>Xem danh sách sản phẩm có nhãn</t>
  </si>
  <si>
    <t>Nhãn đúng vị trí, không chồng lấn</t>
  </si>
  <si>
    <t>UI-05</t>
  </si>
  <si>
    <t>Thông báo lỗi/validation giữa các form</t>
  </si>
  <si>
    <t>Kích hoạt lỗi ở form đăng ký, đăng nhập, đặt hàng</t>
  </si>
  <si>
    <t>Vị trí, màu sắc, nội dung tiếng Việt rõ ràng, nhất quán</t>
  </si>
  <si>
    <t>UI-06</t>
  </si>
  <si>
    <t>Liên kết header/footer</t>
  </si>
  <si>
    <t>Duyệt các link Giới thiệu, Chính sách… (kiểm tra mã trạng thái)</t>
  </si>
  <si>
    <t>Không có link hỏng (404)</t>
  </si>
  <si>
    <t>UI-07</t>
  </si>
  <si>
    <t>(Tùy chọn) Smoke test Firefox/Edge</t>
  </si>
  <si>
    <t>Trang chủ, tìm kiếm, thêm vào giỏ trên Firefox/Edge</t>
  </si>
  <si>
    <t>Hoạt động tương đương Chrome</t>
  </si>
  <si>
    <t>7. Chức năng giỏ hàng (Bảng 4.12)</t>
  </si>
  <si>
    <t>CART-01</t>
  </si>
  <si>
    <t>Thêm 1 sản phẩm hợp lệ từ trang chi tiết</t>
  </si>
  <si>
    <t>Sản phẩm còn hàng; size/màu hợp lệ; SL = 1</t>
  </si>
  <si>
    <t>Vào giỏ đúng tên, size, màu, SL, đơn giá; biểu tượng giỏ cập nhật số lượng</t>
  </si>
  <si>
    <t>TV4</t>
  </si>
  <si>
    <t>CART-02</t>
  </si>
  <si>
    <t>Thêm cùng sản phẩm/biến thể lần 2</t>
  </si>
  <si>
    <t>Cùng sản phẩm, cùng size/màu, thêm 2 lần</t>
  </si>
  <si>
    <t>SL tăng (hoặc tạo dòng mới) — ghi nhận hành vi thật</t>
  </si>
  <si>
    <t>CART-03</t>
  </si>
  <si>
    <t>Thêm 2 biến thể khác nhau</t>
  </si>
  <si>
    <t>Cùng sản phẩm; size M và size L (hoặc 2 màu)</t>
  </si>
  <si>
    <t>Hiển thị 2 dòng riêng, tổng tiền đúng</t>
  </si>
  <si>
    <t>CART-04</t>
  </si>
  <si>
    <t>Tăng số lượng</t>
  </si>
  <si>
    <t>Bấm + (hoặc nhập SL) trong giỏ</t>
  </si>
  <si>
    <t>SL, thành tiền và tổng tiền cập nhật chính xác</t>
  </si>
  <si>
    <t>CART-05</t>
  </si>
  <si>
    <t>Giảm số lượng về 1 rồi xuống 0</t>
  </si>
  <si>
    <t>Bấm − đến 1, bấm − thêm lần nữa</t>
  </si>
  <si>
    <t>Về 1 đúng; xuống 0: bị chặn hoặc hỏi xóa (ghi nhận hành vi)</t>
  </si>
  <si>
    <t>CART-06</t>
  </si>
  <si>
    <t>Nhập SL vượt tồn kho/giới hạn tối đa (*)</t>
  </si>
  <si>
    <t>SL: max+1 hoặc 9999</t>
  </si>
  <si>
    <t>Báo lỗi hoặc tự giới hạn</t>
  </si>
  <si>
    <t>CART-07</t>
  </si>
  <si>
    <t>Xóa một sản phẩm</t>
  </si>
  <si>
    <t>Giỏ có ≥ 2 sản phẩm → xóa 1</t>
  </si>
  <si>
    <t>Sản phẩm biến mất, tổng tiền cập nhật</t>
  </si>
  <si>
    <t>CART-08</t>
  </si>
  <si>
    <t>Xóa hết sản phẩm</t>
  </si>
  <si>
    <t>Xóa lần lượt mọi sản phẩm</t>
  </si>
  <si>
    <t>Hiển thị giỏ trống; nút đặt hàng ẩn/vô hiệu</t>
  </si>
  <si>
    <t>CART-09</t>
  </si>
  <si>
    <t>Kiểm tra công thức tổng tiền</t>
  </si>
  <si>
    <t>SL = 1, 2, 5; có sản phẩm đang sale (parametrize)</t>
  </si>
  <si>
    <t>Tổng = Σ(đơn giá × SL), khớp tính tay</t>
  </si>
  <si>
    <t>CART-10</t>
  </si>
  <si>
    <t>Tải lại trang / mở lại trình duyệt khi giỏ có hàng</t>
  </si>
  <si>
    <t>Khách chưa đăng nhập; F5; đóng và mở lại trình duyệt</t>
  </si>
  <si>
    <t>Giỏ được giữ (hoặc theo chính sách của site)</t>
  </si>
  <si>
    <t>CART-11</t>
  </si>
  <si>
    <t>Thêm hàng khi chưa đăng nhập, sau đó đăng nhập</t>
  </si>
  <si>
    <t>Thêm SP → đăng nhập tài khoản test</t>
  </si>
  <si>
    <t>Giỏ được gộp đúng, không mất hàng</t>
  </si>
  <si>
    <t>CART-12</t>
  </si>
  <si>
    <t>Mini-cart so với trang giỏ hàng</t>
  </si>
  <si>
    <t>Mở popup giỏ nhanh và trang giỏ hàng</t>
  </si>
  <si>
    <t>Dữ liệu nhất quán</t>
  </si>
  <si>
    <t>8. Chức năng mã giảm giá (Bảng 4.13)</t>
  </si>
  <si>
    <t>VCH-01</t>
  </si>
  <si>
    <t>Áp mã hợp lệ, đơn đạt điều kiện</t>
  </si>
  <si>
    <t>Mã công khai trên site/fanpage Coolmate; giỏ đạt điều kiện</t>
  </si>
  <si>
    <t>Giảm đúng giá trị; tổng tiền = tạm tính − giảm (đối chiếu tính tay)</t>
  </si>
  <si>
    <t>VCH-02</t>
  </si>
  <si>
    <t>Mã sai / không tồn tại</t>
  </si>
  <si>
    <t>Chuỗi ngẫu nhiên (thử tối đa 1–2 lần)</t>
  </si>
  <si>
    <t>Báo lỗi, không giảm giá</t>
  </si>
  <si>
    <t>VCH-03</t>
  </si>
  <si>
    <t>Mã hết hạn</t>
  </si>
  <si>
    <t>Mã công khai đã hết hạn (nếu tìm được)</t>
  </si>
  <si>
    <t>Báo hết hạn, không giảm giá</t>
  </si>
  <si>
    <t>VCH-04</t>
  </si>
  <si>
    <t>Mã có đơn tối thiểu (*)</t>
  </si>
  <si>
    <t>Giá trị giỏ = ngưỡng−1 | ngưỡng | ngưỡng+1</t>
  </si>
  <si>
    <t>Dưới ngưỡng báo lỗi; từ ngưỡng trở lên áp dụng</t>
  </si>
  <si>
    <t>BVA, DT</t>
  </si>
  <si>
    <t>VCH-05</t>
  </si>
  <si>
    <t>Để trống ô mã rồi bấm áp dụng</t>
  </si>
  <si>
    <t>mã: [trống]</t>
  </si>
  <si>
    <t>Báo lỗi hoặc nút bị vô hiệu</t>
  </si>
  <si>
    <t>VCH-06</t>
  </si>
  <si>
    <t>Mã viết hoa/thường, có khoảng trắng đầu-cuối</t>
  </si>
  <si>
    <t>mã hợp lệ viết thường; " MA " (parametrize)</t>
  </si>
  <si>
    <t>Hành vi nhất quán (tự trim / không phân biệt hoa thường)</t>
  </si>
  <si>
    <t>VCH-07</t>
  </si>
  <si>
    <t>Áp mã thứ 2 sau khi đã áp mã 1</t>
  </si>
  <si>
    <t>2 mã công khai khác nhau</t>
  </si>
  <si>
    <t>Thay thế hoặc từ chối (ghi nhận hành vi)</t>
  </si>
  <si>
    <t>VCH-08</t>
  </si>
  <si>
    <t>Gỡ mã đã áp</t>
  </si>
  <si>
    <t>Đã áp mã hợp lệ → bấm Gỡ mã</t>
  </si>
  <si>
    <t>Tổng tiền về giá trị ban đầu</t>
  </si>
  <si>
    <t>VCH-09</t>
  </si>
  <si>
    <t>Đã áp mã rồi đổi SL hoặc xóa SP làm giỏ tụt dưới ngưỡng</t>
  </si>
  <si>
    <t>Áp mã có ngưỡng → giảm SL/xóa SP</t>
  </si>
  <si>
    <t>Giảm giá được tính lại hoặc mã bị gỡ kèm thông báo</t>
  </si>
  <si>
    <t>ST, DT</t>
  </si>
  <si>
    <t>VCH-10</t>
  </si>
  <si>
    <t>Mã giới hạn danh mục/sản phẩm</t>
  </si>
  <si>
    <t>Áp mã cho giỏ không thuộc phạm vi áp dụng</t>
  </si>
  <si>
    <t>Báo mã không áp dụng được</t>
  </si>
  <si>
    <t>9. Chức năng đặt hàng và thanh toán (Bảng 4.14)</t>
  </si>
  <si>
    <t>ORD-01</t>
  </si>
  <si>
    <t>Đặt hàng hợp lệ, dừng tại bước xác nhận</t>
  </si>
  <si>
    <t>Giỏ có hàng; thông tin giao hàng hợp lệ; phương thức: COD. KHÔNG bấm xác nhận cuối</t>
  </si>
  <si>
    <t>Đi qua các bước, hiển thị tóm tắt đơn đúng</t>
  </si>
  <si>
    <t>ORD-02</t>
  </si>
  <si>
    <t>Để trống từng trường thông tin giao hàng</t>
  </si>
  <si>
    <t>Lần lượt trống: họ tên / SĐT / địa chỉ / tỉnh-quận-phường (parametrize)</t>
  </si>
  <si>
    <t>Báo lỗi đúng trường, không đi tiếp</t>
  </si>
  <si>
    <t>ORD-03</t>
  </si>
  <si>
    <t>SĐT nhận hàng sai (*)</t>
  </si>
  <si>
    <t>SĐT: 9 số | 10 số | 11 số | có chữ (parametrize)</t>
  </si>
  <si>
    <t>Chỉ SĐT hợp lệ được chấp nhận</t>
  </si>
  <si>
    <t>ORD-04</t>
  </si>
  <si>
    <t>Email nhận đơn sai định dạng (nếu có trường)</t>
  </si>
  <si>
    <t>email: abc | abc@</t>
  </si>
  <si>
    <t>Báo lỗi định dạng</t>
  </si>
  <si>
    <t>ORD-05</t>
  </si>
  <si>
    <t>Chọn Tỉnh → Quận/Huyện → Phường/Xã</t>
  </si>
  <si>
    <t>Chọn lần lượt, sau đó đổi tỉnh</t>
  </si>
  <si>
    <t>Danh sách con thay đổi theo lựa chọn cha; đổi tỉnh thì reset danh sách con</t>
  </si>
  <si>
    <t>ORD-06</t>
  </si>
  <si>
    <t>Phí vận chuyển theo địa chỉ</t>
  </si>
  <si>
    <t>3 địa chỉ: nội thành, tỉnh khác, vùng xa</t>
  </si>
  <si>
    <t>Phí hiển thị theo từng địa chỉ; cập nhật khi đổi địa chỉ</t>
  </si>
  <si>
    <t>ORD-07</t>
  </si>
  <si>
    <t>Điều kiện miễn phí vận chuyển (*)</t>
  </si>
  <si>
    <t>Giá trị giỏ = ngưỡng−1 | ngưỡng</t>
  </si>
  <si>
    <t>Phí = 0 khi đạt ngưỡng</t>
  </si>
  <si>
    <t>ORD-08</t>
  </si>
  <si>
    <t>Chọn phương thức COD</t>
  </si>
  <si>
    <t>Chọn COD</t>
  </si>
  <si>
    <t>Được chọn, hiển thị thông tin liên quan</t>
  </si>
  <si>
    <t>ORD-09</t>
  </si>
  <si>
    <t>Chọn thanh toán online / ví</t>
  </si>
  <si>
    <t>Chọn ví/thẻ → chỉ xem chuyển hướng, thoát ra, không giao dịch thật</t>
  </si>
  <si>
    <t>Chuyển tới cổng/trang thanh toán đúng; không phát sinh giao dịch</t>
  </si>
  <si>
    <t>ORD-10</t>
  </si>
  <si>
    <t>Tổng thanh toán kết hợp phí ship và voucher</t>
  </si>
  <si>
    <t>Giỏ + phí ship + mã giảm giá hợp lệ</t>
  </si>
  <si>
    <t>Tổng = tạm tính + phí ship − giảm giá; khớp tính tay</t>
  </si>
  <si>
    <t>ORD-11</t>
  </si>
  <si>
    <t>Vào trang đặt hàng khi giỏ trống</t>
  </si>
  <si>
    <t>Giỏ trống; gõ trực tiếp URL trang đặt hàng</t>
  </si>
  <si>
    <t>Bị chặn hoặc chuyển về giỏ hàng</t>
  </si>
  <si>
    <t>ORD-12</t>
  </si>
  <si>
    <t>Thông tin điền sẵn khi đã đăng nhập</t>
  </si>
  <si>
    <t>Đăng nhập tài khoản có địa chỉ đã lưu → vào đặt hàng</t>
  </si>
  <si>
    <t>Thông tin điền sẵn đúng, có thể sửa</t>
  </si>
  <si>
    <t>ORD-13</t>
  </si>
  <si>
    <t>Quay lại sửa giỏ hàng giữa chừng</t>
  </si>
  <si>
    <t>Đang ở bước đặt hàng → quay lại giỏ, đổi SL</t>
  </si>
  <si>
    <t>Số liệu đồng bộ, không mất dữ liệu đã nhập</t>
  </si>
  <si>
    <t>ORD-14</t>
  </si>
  <si>
    <t>Đặt thật 1 đơn COD rồi hủy ngay</t>
  </si>
  <si>
    <t>COD; tối đa 1–2 lần; ghi lại mã đơn; hủy ngay sau khi đặt</t>
  </si>
  <si>
    <t>Có trang xác nhận + mã đơn; (nếu có) thông báo xác nhận; đơn xuất hiện trong lịch sử</t>
  </si>
  <si>
    <t>10. Chức năng quản lý tài khoản (Bảng 4.15)</t>
  </si>
  <si>
    <t>ACC-01</t>
  </si>
  <si>
    <t>Mở trang thông tin cá nhân</t>
  </si>
  <si>
    <t>Đã đăng nhập; mở trang tài khoản</t>
  </si>
  <si>
    <t>Hiển thị đúng thông tin đã đăng ký</t>
  </si>
  <si>
    <t>TV1</t>
  </si>
  <si>
    <t>ACC-02</t>
  </si>
  <si>
    <t>Cập nhật họ tên hợp lệ (TC15)</t>
  </si>
  <si>
    <t>họ tên mới: Nguyen Van Test Moi → Lưu</t>
  </si>
  <si>
    <t>Lưu thành công; tải lại vẫn đúng</t>
  </si>
  <si>
    <t>ACC-03</t>
  </si>
  <si>
    <t>Cập nhật SĐT/ngày sinh/giới tính hợp lệ</t>
  </si>
  <si>
    <t>SĐT, ngày sinh, giới tính hợp lệ → Lưu</t>
  </si>
  <si>
    <t>Lưu thành công</t>
  </si>
  <si>
    <t>ACC-04</t>
  </si>
  <si>
    <t>SĐT sai định dạng khi cập nhật (*)</t>
  </si>
  <si>
    <t>SĐT: 09abc | 090123 | 12345678901 (parametrize)</t>
  </si>
  <si>
    <t>Báo lỗi, không lưu</t>
  </si>
  <si>
    <t>ACC-05</t>
  </si>
  <si>
    <t>Xóa trống trường bắt buộc rồi lưu</t>
  </si>
  <si>
    <t>họ tên: [trống] → Lưu</t>
  </si>
  <si>
    <t>ACC-06</t>
  </si>
  <si>
    <t>Thêm / sửa / xóa địa chỉ giao hàng</t>
  </si>
  <si>
    <t>Thêm địa chỉ mới → sửa → xóa</t>
  </si>
  <si>
    <t>Thao tác thành công; danh sách địa chỉ đúng</t>
  </si>
  <si>
    <t>ACC-07</t>
  </si>
  <si>
    <t>Đổi mật khẩu đúng</t>
  </si>
  <si>
    <t>mk cũ: đúng; mk mới: hợp lệ → đăng xuất → đăng nhập mk mới → ĐỔI LẠI mk cũ</t>
  </si>
  <si>
    <t>Đổi thành công; mk cũ không còn dùng được</t>
  </si>
  <si>
    <t>ACC-08</t>
  </si>
  <si>
    <t>Đổi mật khẩu với mật khẩu cũ sai</t>
  </si>
  <si>
    <t>mk cũ: sai; mk mới: hợp lệ</t>
  </si>
  <si>
    <t>Báo lỗi, không đổi</t>
  </si>
  <si>
    <t>ACC-09</t>
  </si>
  <si>
    <t>Mật khẩu mới không hợp lệ (*)</t>
  </si>
  <si>
    <t>mk mới = mk cũ | không khớp xác nhận | dưới độ dài tối thiểu (parametrize)</t>
  </si>
  <si>
    <t>Báo lỗi tương ứng</t>
  </si>
  <si>
    <t>ACC-10</t>
  </si>
  <si>
    <t>Sửa thông tin rồi thoát không lưu</t>
  </si>
  <si>
    <t>Sửa họ tên → rời trang không bấm Lưu</t>
  </si>
  <si>
    <t>Dữ liệu cũ giữ nguyên</t>
  </si>
  <si>
    <t>ACC-11</t>
  </si>
  <si>
    <t>Truy cập trang tài khoản khi chưa đăng nhập</t>
  </si>
  <si>
    <t>Chưa đăng nhập; gõ trực tiếp URL trang tài khoản</t>
  </si>
  <si>
    <t>Chuyển về trang đăng nhập</t>
  </si>
  <si>
    <t>11. Chức năng lịch sử đơn hàng (Bảng 4.16)</t>
  </si>
  <si>
    <t>HIS-01</t>
  </si>
  <si>
    <t>Xem lịch sử khi tài khoản đã có đơn (TC16)</t>
  </si>
  <si>
    <t>Tài khoản đã có đơn (đơn từ ORD-14 hoặc tài khoản có sẵn)</t>
  </si>
  <si>
    <t>Hiển thị danh sách: mã đơn, ngày đặt, tổng tiền, trạng thái</t>
  </si>
  <si>
    <t>HIS-02</t>
  </si>
  <si>
    <t>Tài khoản mới, chưa có đơn</t>
  </si>
  <si>
    <t>Tài khoản vừa tạo</t>
  </si>
  <si>
    <t>Thông báo rỗng thân thiện</t>
  </si>
  <si>
    <t>HIS-03</t>
  </si>
  <si>
    <t>Mở chi tiết một đơn hàng</t>
  </si>
  <si>
    <t>Chọn 1 đơn trong lịch sử</t>
  </si>
  <si>
    <t>Sản phẩm, SL, giá, phí ship, tổng tiền khớp lúc đặt</t>
  </si>
  <si>
    <t>TỔNG HỢP BỘ TEST CASE – KIỂM THỬ WEBSITE COOLMATE (NHÓM 17)</t>
  </si>
  <si>
    <t>Chỉ số</t>
  </si>
  <si>
    <t>Giá trị</t>
  </si>
  <si>
    <t>Tiến độ</t>
  </si>
  <si>
    <t>Tổng số test case</t>
  </si>
  <si>
    <t>Đã ghi Pass</t>
  </si>
  <si>
    <t>Đã có kết quả (P/F/B)</t>
  </si>
  <si>
    <t>Đã ghi Fail</t>
  </si>
  <si>
    <t>Tỷ lệ Pass (Pass / (Pass+Fail))</t>
  </si>
  <si>
    <t>Blocked</t>
  </si>
  <si>
    <t>Nhóm chức năng</t>
  </si>
  <si>
    <t>Số test case</t>
  </si>
  <si>
    <t>Pass</t>
  </si>
  <si>
    <t>Fail</t>
  </si>
  <si>
    <t>Tỷ lệ Pass</t>
  </si>
  <si>
    <t>Auto (A, A+M)</t>
  </si>
  <si>
    <t>Manual (M)</t>
  </si>
  <si>
    <t>Ưu tiên cao (H)</t>
  </si>
  <si>
    <t>Đăng ký</t>
  </si>
  <si>
    <t>Đăng nhập / đăng xuất / quên mật khẩu</t>
  </si>
  <si>
    <t>Tìm kiếm</t>
  </si>
  <si>
    <t>Lọc / sắp xếp</t>
  </si>
  <si>
    <t>Chi tiết sản phẩm</t>
  </si>
  <si>
    <t>Giao diện &amp; tương thích</t>
  </si>
  <si>
    <t>Giỏ hàng</t>
  </si>
  <si>
    <t>Mã giảm giá</t>
  </si>
  <si>
    <t>Đặt hàng &amp; thanh toán</t>
  </si>
  <si>
    <t>Quản lý tài khoản</t>
  </si>
  <si>
    <t>Lịch sử đơn hàng</t>
  </si>
  <si>
    <t>Tổng</t>
  </si>
  <si>
    <t>Ghi chú: Cột Pass/Fail được để trống vì chưa chạy test (Actual Results = "Chưa thực hiện"). Chỉ điền P / F / B sau khi chạy thật; Blocked (B) không tính vào mẫu số của tỷ lệ Pass. Các giá trị đánh dấu (*) cần xác nhận lại trên website thật trước khi đóng băng (Gate 1).</t>
  </si>
  <si>
    <t>QUY ƯỚC SỬ DỤNG FILE</t>
  </si>
  <si>
    <t>P = Pass · F = Fail (lỗi thật của website) · B = Blocked (CAPTCHA, hết hàng, site bảo trì…). Lỗi do script/locator KHÔNG tính là F của website.</t>
  </si>
  <si>
    <t>Ghi kết quả quan sát thực tế khi chạy; thay chữ "Chưa thực hiện" sau khi chạy.</t>
  </si>
  <si>
    <t>Kỹ thuật (KT)</t>
  </si>
  <si>
    <t>EP = Phân vùng tương đương · BVA = Giá trị biên · DT = Bảng quyết định · ST = Chuyển trạng thái · ET = Đoán lỗi · UC = Dựa trên use case</t>
  </si>
  <si>
    <t>H = Cao · M = Trung bình · L = Thấp</t>
  </si>
  <si>
    <t>A = Tự động (Selenium) · M = Thủ công · A+M = chạy cả hai</t>
  </si>
  <si>
    <t>Dấu (*)</t>
  </si>
  <si>
    <t>Giá trị biên / quy tắc phải xác nhận lại trên website thật ở Ngày 1–2 trước khi đóng băng test case.</t>
  </si>
  <si>
    <t>Email/SĐT dùng tài khoản của nhóm (alias/email tạm); thay các giá trị mẫu bằng dữ liệu thật của nhóm. Không commit mật khẩu thật lên GitHub.</t>
  </si>
  <si>
    <t>An toàn (website thật)</t>
  </si>
  <si>
    <t>Đặt hàng: chỉ COD, dừng trước bước xác nhận cuối (trừ ORD-14: tối đa 1–2 đơn rồi hủy ngay). Voucher: chỉ dùng mã công khai. Không thanh toán online thật. Gặp CAPTCHA/OTP → chuyển Manual hoặc Blocked.</t>
  </si>
  <si>
    <t>Quy tắc đặt tên</t>
  </si>
  <si>
    <t>Tên hàm pytest = TC ID, ví dụ def test_REG_01_register_valid để results.csv khớp 1–1 với file này.</t>
  </si>
  <si>
    <t>Cột bổ sung</t>
  </si>
  <si>
    <t>Cột A–F giữ nguyên theo template; cột G–M bổ sung để theo dõi (kỹ thuật, ưu tiên, loại, người phụ trách, ngày chạy, Bug ID, evidence).</t>
  </si>
  <si>
    <t>Trung</t>
  </si>
  <si>
    <t>Quân</t>
  </si>
  <si>
    <t>email: tài khoản test của Quân
mật khẩu: đúng</t>
  </si>
  <si>
    <t>SĐT: tài khoản test của Quân
mật khẩu: đúng</t>
  </si>
  <si>
    <t>Lâm</t>
  </si>
  <si>
    <t>Huy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</si>
</sst>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9" x14ac:knownFonts="1">
    <font>
      <sz val="11"/>
      <color theme="1"/>
      <name val="Calibri"/>
      <family val="2"/>
      <charset val="1"/>
    </font>
    <font>
      <b/>
      <sz val="11"/>
      <color rgb="FFFFFFFF"/>
      <name val="Calibri"/>
      <charset val="1"/>
    </font>
    <font>
      <sz val="10"/>
      <color rgb="FF1F2937"/>
      <name val="Calibri"/>
      <charset val="1"/>
    </font>
    <font>
      <b/>
      <sz val="10"/>
      <color rgb="FF1F2937"/>
      <name val="Calibri"/>
      <charset val="1"/>
    </font>
    <font>
      <b/>
      <sz val="15"/>
      <color rgb="FFFFFFFF"/>
      <name val="Calibri"/>
      <charset val="1"/>
    </font>
    <font>
      <b/>
      <sz val="11"/>
      <color rgb="FF1F2937"/>
      <name val="Calibri"/>
      <charset val="1"/>
    </font>
    <font>
      <sz val="11"/>
      <color rgb="FF1F2937"/>
      <name val="Calibri"/>
      <charset val="1"/>
    </font>
    <font>
      <b/>
      <sz val="12"/>
      <color rgb="FF1F2937"/>
      <name val="Calibri"/>
      <charset val="1"/>
    </font>
    <font>
      <b/>
      <sz val="13"/>
      <color rgb="FFFFFFFF"/>
      <name val="Calibri"/>
      <charset val="1"/>
    </font>
  </fonts>
  <fills count="6">
    <fill>
      <patternFill patternType="none"/>
    </fill>
    <fill>
      <patternFill patternType="gray125"/>
    </fill>
    <fill>
      <patternFill patternType="solid">
        <fgColor rgb="FF4472C4"/>
        <bgColor rgb="FF666699"/>
      </patternFill>
    </fill>
    <fill>
      <patternFill patternType="solid">
        <fgColor rgb="FFF8FAFC"/>
        <bgColor rgb="FFFFFFFF"/>
      </patternFill>
    </fill>
    <fill>
      <patternFill patternType="solid">
        <fgColor rgb="FFD9EAF7"/>
        <bgColor rgb="FFD9E2F3"/>
      </patternFill>
    </fill>
    <fill>
      <patternFill patternType="solid">
        <fgColor rgb="FFFFF2CC"/>
        <bgColor rgb="FFF8FAFC"/>
      </patternFill>
    </fill>
  </fills>
  <borders count="3">
    <border>
      <left/>
      <right/>
      <top/>
      <bottom/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8" fillId="2" borderId="0" xfId="0" applyFont="1" applyFill="1" applyAlignment="1">
      <alignment horizontal="center" vertical="center"/>
    </xf>
    <xf numFmtId="0" fontId="2" fillId="5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left" vertical="center" inden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top" wrapText="1"/>
    </xf>
    <xf numFmtId="0" fontId="2" fillId="0" borderId="2" xfId="0" applyFont="1" applyBorder="1" applyAlignment="1">
      <alignment horizontal="left" vertical="top" wrapText="1"/>
    </xf>
    <xf numFmtId="0" fontId="2" fillId="3" borderId="2" xfId="0" applyFont="1" applyFill="1" applyBorder="1" applyAlignment="1">
      <alignment horizontal="center" vertical="top" wrapText="1"/>
    </xf>
    <xf numFmtId="0" fontId="3" fillId="0" borderId="2" xfId="0" applyFont="1" applyBorder="1" applyAlignment="1">
      <alignment horizontal="center" vertical="top" wrapText="1"/>
    </xf>
    <xf numFmtId="0" fontId="5" fillId="4" borderId="2" xfId="0" applyFont="1" applyFill="1" applyBorder="1" applyAlignment="1">
      <alignment horizontal="center" vertical="center"/>
    </xf>
    <xf numFmtId="0" fontId="6" fillId="0" borderId="2" xfId="0" applyFont="1" applyBorder="1" applyAlignment="1">
      <alignment horizontal="left" vertical="center"/>
    </xf>
    <xf numFmtId="0" fontId="7" fillId="0" borderId="2" xfId="0" applyFont="1" applyBorder="1" applyAlignment="1">
      <alignment horizontal="center" vertical="center"/>
    </xf>
    <xf numFmtId="164" fontId="7" fillId="0" borderId="2" xfId="0" applyNumberFormat="1" applyFont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164" fontId="6" fillId="0" borderId="2" xfId="0" applyNumberFormat="1" applyFont="1" applyBorder="1" applyAlignment="1">
      <alignment horizontal="center" vertical="center"/>
    </xf>
    <xf numFmtId="0" fontId="5" fillId="4" borderId="2" xfId="0" applyFont="1" applyFill="1" applyBorder="1" applyAlignment="1">
      <alignment horizontal="left" vertical="center"/>
    </xf>
    <xf numFmtId="164" fontId="5" fillId="4" borderId="2" xfId="0" applyNumberFormat="1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C6E7"/>
      <rgbColor rgb="FF808080"/>
      <rgbColor rgb="FF9999FF"/>
      <rgbColor rgb="FF993366"/>
      <rgbColor rgb="FFFFF2CC"/>
      <rgbColor rgb="FFD9EAF7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8FAFC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2937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32"/>
  <sheetViews>
    <sheetView tabSelected="1" zoomScaleNormal="100" workbookViewId="0">
      <pane xSplit="1" ySplit="1" topLeftCell="B87" activePane="bottomRight" state="frozen"/>
      <selection pane="topRight" activeCell="B1" sqref="B1"/>
      <selection pane="bottomLeft" activeCell="A2" sqref="A2"/>
      <selection pane="bottomRight" activeCell="J60" sqref="J60"/>
    </sheetView>
  </sheetViews>
  <sheetFormatPr defaultColWidth="8.7109375" defaultRowHeight="15" x14ac:dyDescent="0.25"/>
  <cols>
    <col min="1" max="1" width="12" customWidth="1"/>
    <col min="2" max="2" width="34" customWidth="1"/>
    <col min="3" max="4" width="46" customWidth="1"/>
    <col min="5" max="5" width="18" customWidth="1"/>
    <col min="6" max="6" width="11" customWidth="1"/>
    <col min="7" max="7" width="10" customWidth="1"/>
    <col min="8" max="8" width="9" customWidth="1"/>
    <col min="9" max="9" width="8" customWidth="1"/>
    <col min="10" max="10" width="11" customWidth="1"/>
    <col min="11" max="11" width="12" customWidth="1"/>
    <col min="12" max="12" width="10" customWidth="1"/>
    <col min="13" max="13" width="24" customWidth="1"/>
  </cols>
  <sheetData>
    <row r="1" spans="1:13" ht="27.75" customHeight="1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</row>
    <row r="2" spans="1:13" ht="24.75" customHeight="1" x14ac:dyDescent="0.25">
      <c r="A2" s="4" t="s">
        <v>13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</row>
    <row r="3" spans="1:13" ht="51" x14ac:dyDescent="0.25">
      <c r="A3" s="6" t="s">
        <v>14</v>
      </c>
      <c r="B3" s="7" t="s">
        <v>15</v>
      </c>
      <c r="C3" s="7" t="s">
        <v>16</v>
      </c>
      <c r="D3" s="7" t="s">
        <v>17</v>
      </c>
      <c r="E3" s="8" t="s">
        <v>18</v>
      </c>
      <c r="F3" s="9"/>
      <c r="G3" s="6" t="s">
        <v>19</v>
      </c>
      <c r="H3" s="6" t="s">
        <v>20</v>
      </c>
      <c r="I3" s="6" t="s">
        <v>21</v>
      </c>
      <c r="J3" s="6" t="s">
        <v>570</v>
      </c>
      <c r="K3" s="6"/>
      <c r="L3" s="6"/>
      <c r="M3" s="7"/>
    </row>
    <row r="4" spans="1:13" x14ac:dyDescent="0.25">
      <c r="A4" s="6" t="s">
        <v>23</v>
      </c>
      <c r="B4" s="7" t="s">
        <v>24</v>
      </c>
      <c r="C4" s="7" t="s">
        <v>25</v>
      </c>
      <c r="D4" s="7" t="s">
        <v>26</v>
      </c>
      <c r="E4" s="8" t="s">
        <v>18</v>
      </c>
      <c r="F4" s="9"/>
      <c r="G4" s="6" t="s">
        <v>19</v>
      </c>
      <c r="H4" s="6" t="s">
        <v>20</v>
      </c>
      <c r="I4" s="6" t="s">
        <v>27</v>
      </c>
      <c r="J4" s="6" t="s">
        <v>570</v>
      </c>
      <c r="K4" s="6"/>
      <c r="L4" s="6"/>
      <c r="M4" s="7"/>
    </row>
    <row r="5" spans="1:13" ht="25.5" x14ac:dyDescent="0.25">
      <c r="A5" s="6" t="s">
        <v>28</v>
      </c>
      <c r="B5" s="7" t="s">
        <v>29</v>
      </c>
      <c r="C5" s="7" t="s">
        <v>30</v>
      </c>
      <c r="D5" s="7" t="s">
        <v>31</v>
      </c>
      <c r="E5" s="8" t="s">
        <v>18</v>
      </c>
      <c r="F5" s="9"/>
      <c r="G5" s="6" t="s">
        <v>19</v>
      </c>
      <c r="H5" s="6" t="s">
        <v>20</v>
      </c>
      <c r="I5" s="6" t="s">
        <v>27</v>
      </c>
      <c r="J5" s="6" t="s">
        <v>570</v>
      </c>
      <c r="K5" s="6"/>
      <c r="L5" s="6"/>
      <c r="M5" s="7"/>
    </row>
    <row r="6" spans="1:13" ht="25.5" x14ac:dyDescent="0.25">
      <c r="A6" s="6" t="s">
        <v>32</v>
      </c>
      <c r="B6" s="7" t="s">
        <v>33</v>
      </c>
      <c r="C6" s="7" t="s">
        <v>34</v>
      </c>
      <c r="D6" s="7" t="s">
        <v>35</v>
      </c>
      <c r="E6" s="8" t="s">
        <v>18</v>
      </c>
      <c r="F6" s="9"/>
      <c r="G6" s="6" t="s">
        <v>19</v>
      </c>
      <c r="H6" s="6" t="s">
        <v>20</v>
      </c>
      <c r="I6" s="6" t="s">
        <v>27</v>
      </c>
      <c r="J6" s="6" t="s">
        <v>570</v>
      </c>
      <c r="K6" s="6"/>
      <c r="L6" s="6"/>
      <c r="M6" s="7"/>
    </row>
    <row r="7" spans="1:13" ht="38.25" x14ac:dyDescent="0.25">
      <c r="A7" s="6" t="s">
        <v>36</v>
      </c>
      <c r="B7" s="7" t="s">
        <v>37</v>
      </c>
      <c r="C7" s="7" t="s">
        <v>38</v>
      </c>
      <c r="D7" s="7" t="s">
        <v>39</v>
      </c>
      <c r="E7" s="8" t="s">
        <v>18</v>
      </c>
      <c r="F7" s="9"/>
      <c r="G7" s="6" t="s">
        <v>40</v>
      </c>
      <c r="H7" s="6" t="s">
        <v>20</v>
      </c>
      <c r="I7" s="6" t="s">
        <v>27</v>
      </c>
      <c r="J7" s="6" t="s">
        <v>570</v>
      </c>
      <c r="K7" s="6"/>
      <c r="L7" s="6"/>
      <c r="M7" s="7"/>
    </row>
    <row r="8" spans="1:13" x14ac:dyDescent="0.25">
      <c r="A8" s="6" t="s">
        <v>41</v>
      </c>
      <c r="B8" s="7" t="s">
        <v>42</v>
      </c>
      <c r="C8" s="7" t="s">
        <v>43</v>
      </c>
      <c r="D8" s="7" t="s">
        <v>44</v>
      </c>
      <c r="E8" s="8" t="s">
        <v>18</v>
      </c>
      <c r="F8" s="9"/>
      <c r="G8" s="6" t="s">
        <v>19</v>
      </c>
      <c r="H8" s="6" t="s">
        <v>20</v>
      </c>
      <c r="I8" s="6" t="s">
        <v>21</v>
      </c>
      <c r="J8" s="6" t="s">
        <v>570</v>
      </c>
      <c r="K8" s="6"/>
      <c r="L8" s="6"/>
      <c r="M8" s="7"/>
    </row>
    <row r="9" spans="1:13" x14ac:dyDescent="0.25">
      <c r="A9" s="6" t="s">
        <v>45</v>
      </c>
      <c r="B9" s="7" t="s">
        <v>46</v>
      </c>
      <c r="C9" s="7" t="s">
        <v>47</v>
      </c>
      <c r="D9" s="7" t="s">
        <v>48</v>
      </c>
      <c r="E9" s="8" t="s">
        <v>18</v>
      </c>
      <c r="F9" s="9"/>
      <c r="G9" s="6" t="s">
        <v>19</v>
      </c>
      <c r="H9" s="6" t="s">
        <v>49</v>
      </c>
      <c r="I9" s="6" t="s">
        <v>49</v>
      </c>
      <c r="J9" s="6" t="s">
        <v>570</v>
      </c>
      <c r="K9" s="6"/>
      <c r="L9" s="6"/>
      <c r="M9" s="7"/>
    </row>
    <row r="10" spans="1:13" ht="25.5" x14ac:dyDescent="0.25">
      <c r="A10" s="6" t="s">
        <v>50</v>
      </c>
      <c r="B10" s="7" t="s">
        <v>51</v>
      </c>
      <c r="C10" s="7" t="s">
        <v>52</v>
      </c>
      <c r="D10" s="7" t="s">
        <v>53</v>
      </c>
      <c r="E10" s="8" t="s">
        <v>18</v>
      </c>
      <c r="F10" s="9"/>
      <c r="G10" s="6" t="s">
        <v>54</v>
      </c>
      <c r="H10" s="6" t="s">
        <v>20</v>
      </c>
      <c r="I10" s="6" t="s">
        <v>27</v>
      </c>
      <c r="J10" s="6" t="s">
        <v>570</v>
      </c>
      <c r="K10" s="6"/>
      <c r="L10" s="6"/>
      <c r="M10" s="7"/>
    </row>
    <row r="11" spans="1:13" ht="25.5" x14ac:dyDescent="0.25">
      <c r="A11" s="6" t="s">
        <v>55</v>
      </c>
      <c r="B11" s="7" t="s">
        <v>56</v>
      </c>
      <c r="C11" s="7" t="s">
        <v>57</v>
      </c>
      <c r="D11" s="7" t="s">
        <v>58</v>
      </c>
      <c r="E11" s="8" t="s">
        <v>18</v>
      </c>
      <c r="F11" s="9"/>
      <c r="G11" s="6" t="s">
        <v>54</v>
      </c>
      <c r="H11" s="6" t="s">
        <v>49</v>
      </c>
      <c r="I11" s="6" t="s">
        <v>27</v>
      </c>
      <c r="J11" s="6" t="s">
        <v>570</v>
      </c>
      <c r="K11" s="6"/>
      <c r="L11" s="6"/>
      <c r="M11" s="7"/>
    </row>
    <row r="12" spans="1:13" ht="25.5" x14ac:dyDescent="0.25">
      <c r="A12" s="6" t="s">
        <v>59</v>
      </c>
      <c r="B12" s="7" t="s">
        <v>60</v>
      </c>
      <c r="C12" s="7" t="s">
        <v>61</v>
      </c>
      <c r="D12" s="7" t="s">
        <v>62</v>
      </c>
      <c r="E12" s="8" t="s">
        <v>18</v>
      </c>
      <c r="F12" s="9"/>
      <c r="G12" s="6" t="s">
        <v>19</v>
      </c>
      <c r="H12" s="6" t="s">
        <v>49</v>
      </c>
      <c r="I12" s="6" t="s">
        <v>27</v>
      </c>
      <c r="J12" s="6" t="s">
        <v>570</v>
      </c>
      <c r="K12" s="6"/>
      <c r="L12" s="6"/>
      <c r="M12" s="7"/>
    </row>
    <row r="13" spans="1:13" ht="25.5" x14ac:dyDescent="0.25">
      <c r="A13" s="6" t="s">
        <v>63</v>
      </c>
      <c r="B13" s="7" t="s">
        <v>64</v>
      </c>
      <c r="C13" s="7" t="s">
        <v>65</v>
      </c>
      <c r="D13" s="7" t="s">
        <v>66</v>
      </c>
      <c r="E13" s="8" t="s">
        <v>18</v>
      </c>
      <c r="F13" s="9"/>
      <c r="G13" s="6" t="s">
        <v>67</v>
      </c>
      <c r="H13" s="6" t="s">
        <v>68</v>
      </c>
      <c r="I13" s="6" t="s">
        <v>49</v>
      </c>
      <c r="J13" s="6" t="s">
        <v>570</v>
      </c>
      <c r="K13" s="6"/>
      <c r="L13" s="6"/>
      <c r="M13" s="7"/>
    </row>
    <row r="14" spans="1:13" x14ac:dyDescent="0.25">
      <c r="A14" s="6" t="s">
        <v>69</v>
      </c>
      <c r="B14" s="7" t="s">
        <v>70</v>
      </c>
      <c r="C14" s="7" t="s">
        <v>71</v>
      </c>
      <c r="D14" s="7" t="s">
        <v>72</v>
      </c>
      <c r="E14" s="8" t="s">
        <v>18</v>
      </c>
      <c r="F14" s="9"/>
      <c r="G14" s="6" t="s">
        <v>54</v>
      </c>
      <c r="H14" s="6" t="s">
        <v>68</v>
      </c>
      <c r="I14" s="6" t="s">
        <v>49</v>
      </c>
      <c r="J14" s="6" t="s">
        <v>570</v>
      </c>
      <c r="K14" s="6"/>
      <c r="L14" s="6"/>
      <c r="M14" s="7"/>
    </row>
    <row r="15" spans="1:13" ht="25.5" x14ac:dyDescent="0.25">
      <c r="A15" s="6" t="s">
        <v>73</v>
      </c>
      <c r="B15" s="7" t="s">
        <v>74</v>
      </c>
      <c r="C15" s="7" t="s">
        <v>75</v>
      </c>
      <c r="D15" s="7" t="s">
        <v>76</v>
      </c>
      <c r="E15" s="8" t="s">
        <v>18</v>
      </c>
      <c r="F15" s="9"/>
      <c r="G15" s="6" t="s">
        <v>77</v>
      </c>
      <c r="H15" s="6" t="s">
        <v>49</v>
      </c>
      <c r="I15" s="6" t="s">
        <v>49</v>
      </c>
      <c r="J15" s="6" t="s">
        <v>570</v>
      </c>
      <c r="K15" s="6"/>
      <c r="L15" s="6"/>
      <c r="M15" s="7"/>
    </row>
    <row r="16" spans="1:13" ht="25.5" x14ac:dyDescent="0.25">
      <c r="A16" s="6" t="s">
        <v>78</v>
      </c>
      <c r="B16" s="7" t="s">
        <v>79</v>
      </c>
      <c r="C16" s="7" t="s">
        <v>80</v>
      </c>
      <c r="D16" s="7" t="s">
        <v>81</v>
      </c>
      <c r="E16" s="8" t="s">
        <v>18</v>
      </c>
      <c r="F16" s="9"/>
      <c r="G16" s="6" t="s">
        <v>82</v>
      </c>
      <c r="H16" s="6" t="s">
        <v>68</v>
      </c>
      <c r="I16" s="6" t="s">
        <v>49</v>
      </c>
      <c r="J16" s="6" t="s">
        <v>570</v>
      </c>
      <c r="K16" s="6"/>
      <c r="L16" s="6"/>
      <c r="M16" s="7"/>
    </row>
    <row r="17" spans="1:13" ht="24.75" customHeight="1" x14ac:dyDescent="0.25">
      <c r="A17" s="4" t="s">
        <v>83</v>
      </c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</row>
    <row r="18" spans="1:13" ht="25.5" x14ac:dyDescent="0.25">
      <c r="A18" s="6" t="s">
        <v>84</v>
      </c>
      <c r="B18" s="7" t="s">
        <v>85</v>
      </c>
      <c r="C18" s="7" t="s">
        <v>571</v>
      </c>
      <c r="D18" s="7" t="s">
        <v>86</v>
      </c>
      <c r="E18" s="8" t="s">
        <v>18</v>
      </c>
      <c r="F18" s="9"/>
      <c r="G18" s="6" t="s">
        <v>19</v>
      </c>
      <c r="H18" s="6" t="s">
        <v>20</v>
      </c>
      <c r="I18" s="6" t="s">
        <v>21</v>
      </c>
      <c r="J18" s="6" t="s">
        <v>570</v>
      </c>
      <c r="K18" s="6"/>
      <c r="L18" s="6"/>
      <c r="M18" s="7"/>
    </row>
    <row r="19" spans="1:13" ht="25.5" x14ac:dyDescent="0.25">
      <c r="A19" s="6" t="s">
        <v>87</v>
      </c>
      <c r="B19" s="7" t="s">
        <v>88</v>
      </c>
      <c r="C19" s="7" t="s">
        <v>572</v>
      </c>
      <c r="D19" s="7" t="s">
        <v>89</v>
      </c>
      <c r="E19" s="8" t="s">
        <v>18</v>
      </c>
      <c r="F19" s="9"/>
      <c r="G19" s="6" t="s">
        <v>19</v>
      </c>
      <c r="H19" s="6" t="s">
        <v>20</v>
      </c>
      <c r="I19" s="6" t="s">
        <v>21</v>
      </c>
      <c r="J19" s="6" t="s">
        <v>570</v>
      </c>
      <c r="K19" s="6"/>
      <c r="L19" s="6"/>
      <c r="M19" s="7"/>
    </row>
    <row r="20" spans="1:13" ht="25.5" x14ac:dyDescent="0.25">
      <c r="A20" s="6" t="s">
        <v>90</v>
      </c>
      <c r="B20" s="7" t="s">
        <v>91</v>
      </c>
      <c r="C20" s="7" t="s">
        <v>92</v>
      </c>
      <c r="D20" s="7" t="s">
        <v>93</v>
      </c>
      <c r="E20" s="8" t="s">
        <v>18</v>
      </c>
      <c r="F20" s="9"/>
      <c r="G20" s="6" t="s">
        <v>19</v>
      </c>
      <c r="H20" s="6" t="s">
        <v>20</v>
      </c>
      <c r="I20" s="6" t="s">
        <v>27</v>
      </c>
      <c r="J20" s="6" t="s">
        <v>570</v>
      </c>
      <c r="K20" s="6"/>
      <c r="L20" s="6"/>
      <c r="M20" s="7"/>
    </row>
    <row r="21" spans="1:13" ht="25.5" x14ac:dyDescent="0.25">
      <c r="A21" s="6" t="s">
        <v>94</v>
      </c>
      <c r="B21" s="7" t="s">
        <v>95</v>
      </c>
      <c r="C21" s="7" t="s">
        <v>96</v>
      </c>
      <c r="D21" s="7" t="s">
        <v>97</v>
      </c>
      <c r="E21" s="8" t="s">
        <v>18</v>
      </c>
      <c r="F21" s="9"/>
      <c r="G21" s="6" t="s">
        <v>19</v>
      </c>
      <c r="H21" s="6" t="s">
        <v>20</v>
      </c>
      <c r="I21" s="6" t="s">
        <v>27</v>
      </c>
      <c r="J21" s="6" t="s">
        <v>570</v>
      </c>
      <c r="K21" s="6"/>
      <c r="L21" s="6"/>
      <c r="M21" s="7"/>
    </row>
    <row r="22" spans="1:13" x14ac:dyDescent="0.25">
      <c r="A22" s="6" t="s">
        <v>98</v>
      </c>
      <c r="B22" s="7" t="s">
        <v>99</v>
      </c>
      <c r="C22" s="7" t="s">
        <v>100</v>
      </c>
      <c r="D22" s="7" t="s">
        <v>101</v>
      </c>
      <c r="E22" s="8" t="s">
        <v>18</v>
      </c>
      <c r="F22" s="9"/>
      <c r="G22" s="6" t="s">
        <v>19</v>
      </c>
      <c r="H22" s="6" t="s">
        <v>20</v>
      </c>
      <c r="I22" s="6" t="s">
        <v>27</v>
      </c>
      <c r="J22" s="6" t="s">
        <v>570</v>
      </c>
      <c r="K22" s="6"/>
      <c r="L22" s="6"/>
      <c r="M22" s="7"/>
    </row>
    <row r="23" spans="1:13" x14ac:dyDescent="0.25">
      <c r="A23" s="6" t="s">
        <v>102</v>
      </c>
      <c r="B23" s="7" t="s">
        <v>103</v>
      </c>
      <c r="C23" s="7" t="s">
        <v>104</v>
      </c>
      <c r="D23" s="7" t="s">
        <v>105</v>
      </c>
      <c r="E23" s="8" t="s">
        <v>18</v>
      </c>
      <c r="F23" s="9"/>
      <c r="G23" s="6" t="s">
        <v>19</v>
      </c>
      <c r="H23" s="6" t="s">
        <v>49</v>
      </c>
      <c r="I23" s="6" t="s">
        <v>27</v>
      </c>
      <c r="J23" s="6" t="s">
        <v>570</v>
      </c>
      <c r="K23" s="6"/>
      <c r="L23" s="6"/>
      <c r="M23" s="7"/>
    </row>
    <row r="24" spans="1:13" x14ac:dyDescent="0.25">
      <c r="A24" s="6" t="s">
        <v>106</v>
      </c>
      <c r="B24" s="7" t="s">
        <v>107</v>
      </c>
      <c r="C24" s="7" t="s">
        <v>108</v>
      </c>
      <c r="D24" s="7" t="s">
        <v>109</v>
      </c>
      <c r="E24" s="8" t="s">
        <v>18</v>
      </c>
      <c r="F24" s="9"/>
      <c r="G24" s="6" t="s">
        <v>19</v>
      </c>
      <c r="H24" s="6" t="s">
        <v>49</v>
      </c>
      <c r="I24" s="6" t="s">
        <v>27</v>
      </c>
      <c r="J24" s="6" t="s">
        <v>570</v>
      </c>
      <c r="K24" s="6"/>
      <c r="L24" s="6"/>
      <c r="M24" s="7"/>
    </row>
    <row r="25" spans="1:13" ht="25.5" x14ac:dyDescent="0.25">
      <c r="A25" s="6" t="s">
        <v>110</v>
      </c>
      <c r="B25" s="7" t="s">
        <v>111</v>
      </c>
      <c r="C25" s="7" t="s">
        <v>112</v>
      </c>
      <c r="D25" s="7" t="s">
        <v>113</v>
      </c>
      <c r="E25" s="8" t="s">
        <v>18</v>
      </c>
      <c r="F25" s="9"/>
      <c r="G25" s="6" t="s">
        <v>114</v>
      </c>
      <c r="H25" s="6" t="s">
        <v>49</v>
      </c>
      <c r="I25" s="6" t="s">
        <v>27</v>
      </c>
      <c r="J25" s="6" t="s">
        <v>570</v>
      </c>
      <c r="K25" s="6"/>
      <c r="L25" s="6"/>
      <c r="M25" s="7"/>
    </row>
    <row r="26" spans="1:13" ht="25.5" x14ac:dyDescent="0.25">
      <c r="A26" s="6" t="s">
        <v>115</v>
      </c>
      <c r="B26" s="7" t="s">
        <v>116</v>
      </c>
      <c r="C26" s="7" t="s">
        <v>117</v>
      </c>
      <c r="D26" s="7" t="s">
        <v>118</v>
      </c>
      <c r="E26" s="8" t="s">
        <v>18</v>
      </c>
      <c r="F26" s="9"/>
      <c r="G26" s="6" t="s">
        <v>67</v>
      </c>
      <c r="H26" s="6" t="s">
        <v>68</v>
      </c>
      <c r="I26" s="6" t="s">
        <v>49</v>
      </c>
      <c r="J26" s="6" t="s">
        <v>570</v>
      </c>
      <c r="K26" s="6"/>
      <c r="L26" s="6"/>
      <c r="M26" s="7"/>
    </row>
    <row r="27" spans="1:13" ht="25.5" x14ac:dyDescent="0.25">
      <c r="A27" s="6" t="s">
        <v>119</v>
      </c>
      <c r="B27" s="7" t="s">
        <v>120</v>
      </c>
      <c r="C27" s="7" t="s">
        <v>121</v>
      </c>
      <c r="D27" s="7" t="s">
        <v>122</v>
      </c>
      <c r="E27" s="8" t="s">
        <v>18</v>
      </c>
      <c r="F27" s="9"/>
      <c r="G27" s="6" t="s">
        <v>77</v>
      </c>
      <c r="H27" s="6" t="s">
        <v>49</v>
      </c>
      <c r="I27" s="6" t="s">
        <v>49</v>
      </c>
      <c r="J27" s="6" t="s">
        <v>570</v>
      </c>
      <c r="K27" s="6"/>
      <c r="L27" s="6"/>
      <c r="M27" s="7"/>
    </row>
    <row r="28" spans="1:13" x14ac:dyDescent="0.25">
      <c r="A28" s="6" t="s">
        <v>123</v>
      </c>
      <c r="B28" s="7" t="s">
        <v>124</v>
      </c>
      <c r="C28" s="7" t="s">
        <v>125</v>
      </c>
      <c r="D28" s="7" t="s">
        <v>126</v>
      </c>
      <c r="E28" s="8" t="s">
        <v>18</v>
      </c>
      <c r="F28" s="9"/>
      <c r="G28" s="6" t="s">
        <v>82</v>
      </c>
      <c r="H28" s="6" t="s">
        <v>68</v>
      </c>
      <c r="I28" s="6" t="s">
        <v>49</v>
      </c>
      <c r="J28" s="6" t="s">
        <v>570</v>
      </c>
      <c r="K28" s="6"/>
      <c r="L28" s="6"/>
      <c r="M28" s="7"/>
    </row>
    <row r="29" spans="1:13" ht="25.5" x14ac:dyDescent="0.25">
      <c r="A29" s="6" t="s">
        <v>127</v>
      </c>
      <c r="B29" s="7" t="s">
        <v>128</v>
      </c>
      <c r="C29" s="7" t="s">
        <v>129</v>
      </c>
      <c r="D29" s="7" t="s">
        <v>130</v>
      </c>
      <c r="E29" s="8" t="s">
        <v>18</v>
      </c>
      <c r="F29" s="9"/>
      <c r="G29" s="6" t="s">
        <v>77</v>
      </c>
      <c r="H29" s="6" t="s">
        <v>20</v>
      </c>
      <c r="I29" s="6" t="s">
        <v>21</v>
      </c>
      <c r="J29" s="6" t="s">
        <v>570</v>
      </c>
      <c r="K29" s="6"/>
      <c r="L29" s="6"/>
      <c r="M29" s="7"/>
    </row>
    <row r="30" spans="1:13" ht="25.5" x14ac:dyDescent="0.25">
      <c r="A30" s="6" t="s">
        <v>131</v>
      </c>
      <c r="B30" s="7" t="s">
        <v>132</v>
      </c>
      <c r="C30" s="7" t="s">
        <v>133</v>
      </c>
      <c r="D30" s="7" t="s">
        <v>134</v>
      </c>
      <c r="E30" s="8" t="s">
        <v>18</v>
      </c>
      <c r="F30" s="9"/>
      <c r="G30" s="6" t="s">
        <v>77</v>
      </c>
      <c r="H30" s="6" t="s">
        <v>49</v>
      </c>
      <c r="I30" s="6" t="s">
        <v>49</v>
      </c>
      <c r="J30" s="6" t="s">
        <v>570</v>
      </c>
      <c r="K30" s="6"/>
      <c r="L30" s="6"/>
      <c r="M30" s="7"/>
    </row>
    <row r="31" spans="1:13" ht="25.5" x14ac:dyDescent="0.25">
      <c r="A31" s="6" t="s">
        <v>135</v>
      </c>
      <c r="B31" s="7" t="s">
        <v>136</v>
      </c>
      <c r="C31" s="7" t="s">
        <v>137</v>
      </c>
      <c r="D31" s="7" t="s">
        <v>138</v>
      </c>
      <c r="E31" s="8" t="s">
        <v>18</v>
      </c>
      <c r="F31" s="9"/>
      <c r="G31" s="6" t="s">
        <v>19</v>
      </c>
      <c r="H31" s="6" t="s">
        <v>68</v>
      </c>
      <c r="I31" s="6" t="s">
        <v>49</v>
      </c>
      <c r="J31" s="6" t="s">
        <v>570</v>
      </c>
      <c r="K31" s="6"/>
      <c r="L31" s="6"/>
      <c r="M31" s="7"/>
    </row>
    <row r="32" spans="1:13" ht="24.75" customHeight="1" x14ac:dyDescent="0.25">
      <c r="A32" s="4" t="s">
        <v>139</v>
      </c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</row>
    <row r="33" spans="1:13" ht="25.5" x14ac:dyDescent="0.25">
      <c r="A33" s="6" t="s">
        <v>140</v>
      </c>
      <c r="B33" s="7" t="s">
        <v>141</v>
      </c>
      <c r="C33" s="7" t="s">
        <v>142</v>
      </c>
      <c r="D33" s="7" t="s">
        <v>143</v>
      </c>
      <c r="E33" s="8" t="s">
        <v>18</v>
      </c>
      <c r="F33" s="9"/>
      <c r="G33" s="6" t="s">
        <v>19</v>
      </c>
      <c r="H33" s="6" t="s">
        <v>20</v>
      </c>
      <c r="I33" s="6" t="s">
        <v>27</v>
      </c>
      <c r="J33" s="6" t="s">
        <v>573</v>
      </c>
      <c r="K33" s="6"/>
      <c r="L33" s="6"/>
      <c r="M33" s="7"/>
    </row>
    <row r="34" spans="1:13" x14ac:dyDescent="0.25">
      <c r="A34" s="6" t="s">
        <v>145</v>
      </c>
      <c r="B34" s="7" t="s">
        <v>146</v>
      </c>
      <c r="C34" s="7" t="s">
        <v>147</v>
      </c>
      <c r="D34" s="7" t="s">
        <v>148</v>
      </c>
      <c r="E34" s="8" t="s">
        <v>18</v>
      </c>
      <c r="F34" s="9"/>
      <c r="G34" s="6" t="s">
        <v>19</v>
      </c>
      <c r="H34" s="6" t="s">
        <v>20</v>
      </c>
      <c r="I34" s="6" t="s">
        <v>27</v>
      </c>
      <c r="J34" s="6" t="s">
        <v>573</v>
      </c>
      <c r="K34" s="6"/>
      <c r="L34" s="6"/>
      <c r="M34" s="7"/>
    </row>
    <row r="35" spans="1:13" x14ac:dyDescent="0.25">
      <c r="A35" s="6" t="s">
        <v>149</v>
      </c>
      <c r="B35" s="7" t="s">
        <v>150</v>
      </c>
      <c r="C35" s="7" t="s">
        <v>151</v>
      </c>
      <c r="D35" s="7" t="s">
        <v>152</v>
      </c>
      <c r="E35" s="8" t="s">
        <v>18</v>
      </c>
      <c r="F35" s="9"/>
      <c r="G35" s="6" t="s">
        <v>67</v>
      </c>
      <c r="H35" s="6" t="s">
        <v>49</v>
      </c>
      <c r="I35" s="6" t="s">
        <v>27</v>
      </c>
      <c r="J35" s="6" t="s">
        <v>573</v>
      </c>
      <c r="K35" s="6"/>
      <c r="L35" s="6"/>
      <c r="M35" s="7"/>
    </row>
    <row r="36" spans="1:13" x14ac:dyDescent="0.25">
      <c r="A36" s="6" t="s">
        <v>153</v>
      </c>
      <c r="B36" s="7" t="s">
        <v>154</v>
      </c>
      <c r="C36" s="7" t="s">
        <v>155</v>
      </c>
      <c r="D36" s="7" t="s">
        <v>156</v>
      </c>
      <c r="E36" s="8" t="s">
        <v>18</v>
      </c>
      <c r="F36" s="9"/>
      <c r="G36" s="6" t="s">
        <v>19</v>
      </c>
      <c r="H36" s="6" t="s">
        <v>49</v>
      </c>
      <c r="I36" s="6" t="s">
        <v>27</v>
      </c>
      <c r="J36" s="6" t="s">
        <v>573</v>
      </c>
      <c r="K36" s="6"/>
      <c r="L36" s="6"/>
      <c r="M36" s="7"/>
    </row>
    <row r="37" spans="1:13" x14ac:dyDescent="0.25">
      <c r="A37" s="6" t="s">
        <v>157</v>
      </c>
      <c r="B37" s="7" t="s">
        <v>158</v>
      </c>
      <c r="C37" s="7" t="s">
        <v>159</v>
      </c>
      <c r="D37" s="7" t="s">
        <v>160</v>
      </c>
      <c r="E37" s="8" t="s">
        <v>18</v>
      </c>
      <c r="F37" s="9"/>
      <c r="G37" s="6" t="s">
        <v>19</v>
      </c>
      <c r="H37" s="6" t="s">
        <v>20</v>
      </c>
      <c r="I37" s="6" t="s">
        <v>27</v>
      </c>
      <c r="J37" s="6" t="s">
        <v>573</v>
      </c>
      <c r="K37" s="6"/>
      <c r="L37" s="6"/>
      <c r="M37" s="7"/>
    </row>
    <row r="38" spans="1:13" x14ac:dyDescent="0.25">
      <c r="A38" s="6" t="s">
        <v>161</v>
      </c>
      <c r="B38" s="7" t="s">
        <v>162</v>
      </c>
      <c r="C38" s="7" t="s">
        <v>163</v>
      </c>
      <c r="D38" s="7" t="s">
        <v>164</v>
      </c>
      <c r="E38" s="8" t="s">
        <v>18</v>
      </c>
      <c r="F38" s="9"/>
      <c r="G38" s="6" t="s">
        <v>19</v>
      </c>
      <c r="H38" s="6" t="s">
        <v>49</v>
      </c>
      <c r="I38" s="6" t="s">
        <v>27</v>
      </c>
      <c r="J38" s="6" t="s">
        <v>573</v>
      </c>
      <c r="K38" s="6"/>
      <c r="L38" s="6"/>
      <c r="M38" s="7"/>
    </row>
    <row r="39" spans="1:13" x14ac:dyDescent="0.25">
      <c r="A39" s="6" t="s">
        <v>165</v>
      </c>
      <c r="B39" s="7" t="s">
        <v>166</v>
      </c>
      <c r="C39" s="7" t="s">
        <v>167</v>
      </c>
      <c r="D39" s="7" t="s">
        <v>168</v>
      </c>
      <c r="E39" s="8" t="s">
        <v>18</v>
      </c>
      <c r="F39" s="9"/>
      <c r="G39" s="6" t="s">
        <v>19</v>
      </c>
      <c r="H39" s="6" t="s">
        <v>68</v>
      </c>
      <c r="I39" s="6" t="s">
        <v>27</v>
      </c>
      <c r="J39" s="6" t="s">
        <v>573</v>
      </c>
      <c r="K39" s="6"/>
      <c r="L39" s="6"/>
      <c r="M39" s="7"/>
    </row>
    <row r="40" spans="1:13" ht="25.5" x14ac:dyDescent="0.25">
      <c r="A40" s="6" t="s">
        <v>169</v>
      </c>
      <c r="B40" s="7" t="s">
        <v>170</v>
      </c>
      <c r="C40" s="7" t="s">
        <v>171</v>
      </c>
      <c r="D40" s="7" t="s">
        <v>172</v>
      </c>
      <c r="E40" s="8" t="s">
        <v>18</v>
      </c>
      <c r="F40" s="9"/>
      <c r="G40" s="6" t="s">
        <v>67</v>
      </c>
      <c r="H40" s="6" t="s">
        <v>49</v>
      </c>
      <c r="I40" s="6" t="s">
        <v>27</v>
      </c>
      <c r="J40" s="6" t="s">
        <v>573</v>
      </c>
      <c r="K40" s="6"/>
      <c r="L40" s="6"/>
      <c r="M40" s="7"/>
    </row>
    <row r="41" spans="1:13" ht="25.5" x14ac:dyDescent="0.25">
      <c r="A41" s="6" t="s">
        <v>173</v>
      </c>
      <c r="B41" s="7" t="s">
        <v>174</v>
      </c>
      <c r="C41" s="7" t="s">
        <v>175</v>
      </c>
      <c r="D41" s="7" t="s">
        <v>176</v>
      </c>
      <c r="E41" s="8" t="s">
        <v>18</v>
      </c>
      <c r="F41" s="9"/>
      <c r="G41" s="6" t="s">
        <v>19</v>
      </c>
      <c r="H41" s="6" t="s">
        <v>20</v>
      </c>
      <c r="I41" s="6" t="s">
        <v>21</v>
      </c>
      <c r="J41" s="6" t="s">
        <v>573</v>
      </c>
      <c r="K41" s="6"/>
      <c r="L41" s="6"/>
      <c r="M41" s="7"/>
    </row>
    <row r="42" spans="1:13" ht="25.5" x14ac:dyDescent="0.25">
      <c r="A42" s="6" t="s">
        <v>177</v>
      </c>
      <c r="B42" s="7" t="s">
        <v>178</v>
      </c>
      <c r="C42" s="7" t="s">
        <v>179</v>
      </c>
      <c r="D42" s="7" t="s">
        <v>180</v>
      </c>
      <c r="E42" s="8" t="s">
        <v>18</v>
      </c>
      <c r="F42" s="9"/>
      <c r="G42" s="6" t="s">
        <v>82</v>
      </c>
      <c r="H42" s="6" t="s">
        <v>20</v>
      </c>
      <c r="I42" s="6" t="s">
        <v>21</v>
      </c>
      <c r="J42" s="6" t="s">
        <v>573</v>
      </c>
      <c r="K42" s="6"/>
      <c r="L42" s="6"/>
      <c r="M42" s="7"/>
    </row>
    <row r="43" spans="1:13" x14ac:dyDescent="0.25">
      <c r="A43" s="6" t="s">
        <v>181</v>
      </c>
      <c r="B43" s="7" t="s">
        <v>182</v>
      </c>
      <c r="C43" s="7" t="s">
        <v>183</v>
      </c>
      <c r="D43" s="7" t="s">
        <v>184</v>
      </c>
      <c r="E43" s="8" t="s">
        <v>18</v>
      </c>
      <c r="F43" s="9"/>
      <c r="G43" s="6" t="s">
        <v>185</v>
      </c>
      <c r="H43" s="6" t="s">
        <v>20</v>
      </c>
      <c r="I43" s="6" t="s">
        <v>27</v>
      </c>
      <c r="J43" s="6" t="s">
        <v>573</v>
      </c>
      <c r="K43" s="6"/>
      <c r="L43" s="6"/>
      <c r="M43" s="7"/>
    </row>
    <row r="44" spans="1:13" x14ac:dyDescent="0.25">
      <c r="A44" s="6" t="s">
        <v>186</v>
      </c>
      <c r="B44" s="7" t="s">
        <v>187</v>
      </c>
      <c r="C44" s="7" t="s">
        <v>188</v>
      </c>
      <c r="D44" s="7" t="s">
        <v>189</v>
      </c>
      <c r="E44" s="8" t="s">
        <v>18</v>
      </c>
      <c r="F44" s="9"/>
      <c r="G44" s="6" t="s">
        <v>54</v>
      </c>
      <c r="H44" s="6" t="s">
        <v>68</v>
      </c>
      <c r="I44" s="6" t="s">
        <v>27</v>
      </c>
      <c r="J44" s="6" t="s">
        <v>573</v>
      </c>
      <c r="K44" s="6"/>
      <c r="L44" s="6"/>
      <c r="M44" s="7"/>
    </row>
    <row r="45" spans="1:13" ht="25.5" x14ac:dyDescent="0.25">
      <c r="A45" s="6" t="s">
        <v>190</v>
      </c>
      <c r="B45" s="7" t="s">
        <v>191</v>
      </c>
      <c r="C45" s="7" t="s">
        <v>192</v>
      </c>
      <c r="D45" s="7" t="s">
        <v>193</v>
      </c>
      <c r="E45" s="8" t="s">
        <v>18</v>
      </c>
      <c r="F45" s="9"/>
      <c r="G45" s="6" t="s">
        <v>82</v>
      </c>
      <c r="H45" s="6" t="s">
        <v>68</v>
      </c>
      <c r="I45" s="6" t="s">
        <v>49</v>
      </c>
      <c r="J45" s="6" t="s">
        <v>573</v>
      </c>
      <c r="K45" s="6"/>
      <c r="L45" s="6"/>
      <c r="M45" s="7"/>
    </row>
    <row r="46" spans="1:13" ht="24.75" customHeight="1" x14ac:dyDescent="0.25">
      <c r="A46" s="4" t="s">
        <v>194</v>
      </c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</row>
    <row r="47" spans="1:13" x14ac:dyDescent="0.25">
      <c r="A47" s="6" t="s">
        <v>195</v>
      </c>
      <c r="B47" s="7" t="s">
        <v>196</v>
      </c>
      <c r="C47" s="7" t="s">
        <v>197</v>
      </c>
      <c r="D47" s="7" t="s">
        <v>198</v>
      </c>
      <c r="E47" s="8" t="s">
        <v>18</v>
      </c>
      <c r="F47" s="9"/>
      <c r="G47" s="6" t="s">
        <v>82</v>
      </c>
      <c r="H47" s="6" t="s">
        <v>20</v>
      </c>
      <c r="I47" s="6" t="s">
        <v>27</v>
      </c>
      <c r="J47" s="6" t="s">
        <v>573</v>
      </c>
      <c r="K47" s="6"/>
      <c r="L47" s="6"/>
      <c r="M47" s="7"/>
    </row>
    <row r="48" spans="1:13" x14ac:dyDescent="0.25">
      <c r="A48" s="6" t="s">
        <v>199</v>
      </c>
      <c r="B48" s="7" t="s">
        <v>200</v>
      </c>
      <c r="C48" s="7" t="s">
        <v>201</v>
      </c>
      <c r="D48" s="7" t="s">
        <v>202</v>
      </c>
      <c r="E48" s="8" t="s">
        <v>18</v>
      </c>
      <c r="F48" s="9"/>
      <c r="G48" s="6" t="s">
        <v>54</v>
      </c>
      <c r="H48" s="6" t="s">
        <v>20</v>
      </c>
      <c r="I48" s="6" t="s">
        <v>27</v>
      </c>
      <c r="J48" s="6" t="s">
        <v>573</v>
      </c>
      <c r="K48" s="6"/>
      <c r="L48" s="6"/>
      <c r="M48" s="7"/>
    </row>
    <row r="49" spans="1:13" x14ac:dyDescent="0.25">
      <c r="A49" s="6" t="s">
        <v>203</v>
      </c>
      <c r="B49" s="7" t="s">
        <v>204</v>
      </c>
      <c r="C49" s="7" t="s">
        <v>205</v>
      </c>
      <c r="D49" s="7" t="s">
        <v>206</v>
      </c>
      <c r="E49" s="8" t="s">
        <v>18</v>
      </c>
      <c r="F49" s="9"/>
      <c r="G49" s="6" t="s">
        <v>19</v>
      </c>
      <c r="H49" s="6" t="s">
        <v>20</v>
      </c>
      <c r="I49" s="6" t="s">
        <v>27</v>
      </c>
      <c r="J49" s="6" t="s">
        <v>573</v>
      </c>
      <c r="K49" s="6"/>
      <c r="L49" s="6"/>
      <c r="M49" s="7"/>
    </row>
    <row r="50" spans="1:13" x14ac:dyDescent="0.25">
      <c r="A50" s="6" t="s">
        <v>207</v>
      </c>
      <c r="B50" s="7" t="s">
        <v>208</v>
      </c>
      <c r="C50" s="7" t="s">
        <v>209</v>
      </c>
      <c r="D50" s="7" t="s">
        <v>210</v>
      </c>
      <c r="E50" s="8" t="s">
        <v>18</v>
      </c>
      <c r="F50" s="9"/>
      <c r="G50" s="6" t="s">
        <v>19</v>
      </c>
      <c r="H50" s="6" t="s">
        <v>20</v>
      </c>
      <c r="I50" s="6" t="s">
        <v>27</v>
      </c>
      <c r="J50" s="6" t="s">
        <v>573</v>
      </c>
      <c r="K50" s="6"/>
      <c r="L50" s="6"/>
      <c r="M50" s="7"/>
    </row>
    <row r="51" spans="1:13" x14ac:dyDescent="0.25">
      <c r="A51" s="6" t="s">
        <v>211</v>
      </c>
      <c r="B51" s="7" t="s">
        <v>212</v>
      </c>
      <c r="C51" s="7" t="s">
        <v>213</v>
      </c>
      <c r="D51" s="7" t="s">
        <v>214</v>
      </c>
      <c r="E51" s="8" t="s">
        <v>18</v>
      </c>
      <c r="F51" s="9"/>
      <c r="G51" s="6" t="s">
        <v>215</v>
      </c>
      <c r="H51" s="6" t="s">
        <v>20</v>
      </c>
      <c r="I51" s="6" t="s">
        <v>27</v>
      </c>
      <c r="J51" s="6" t="s">
        <v>573</v>
      </c>
      <c r="K51" s="6"/>
      <c r="L51" s="6"/>
      <c r="M51" s="7"/>
    </row>
    <row r="52" spans="1:13" x14ac:dyDescent="0.25">
      <c r="A52" s="6" t="s">
        <v>216</v>
      </c>
      <c r="B52" s="7" t="s">
        <v>217</v>
      </c>
      <c r="C52" s="7" t="s">
        <v>218</v>
      </c>
      <c r="D52" s="7" t="s">
        <v>219</v>
      </c>
      <c r="E52" s="8" t="s">
        <v>18</v>
      </c>
      <c r="F52" s="9"/>
      <c r="G52" s="6" t="s">
        <v>77</v>
      </c>
      <c r="H52" s="6" t="s">
        <v>49</v>
      </c>
      <c r="I52" s="6" t="s">
        <v>27</v>
      </c>
      <c r="J52" s="6" t="s">
        <v>573</v>
      </c>
      <c r="K52" s="6"/>
      <c r="L52" s="6"/>
      <c r="M52" s="7"/>
    </row>
    <row r="53" spans="1:13" x14ac:dyDescent="0.25">
      <c r="A53" s="6" t="s">
        <v>220</v>
      </c>
      <c r="B53" s="7" t="s">
        <v>221</v>
      </c>
      <c r="C53" s="7" t="s">
        <v>222</v>
      </c>
      <c r="D53" s="7" t="s">
        <v>223</v>
      </c>
      <c r="E53" s="8" t="s">
        <v>18</v>
      </c>
      <c r="F53" s="9"/>
      <c r="G53" s="6" t="s">
        <v>19</v>
      </c>
      <c r="H53" s="6" t="s">
        <v>49</v>
      </c>
      <c r="I53" s="6" t="s">
        <v>27</v>
      </c>
      <c r="J53" s="6" t="s">
        <v>573</v>
      </c>
      <c r="K53" s="6"/>
      <c r="L53" s="6"/>
      <c r="M53" s="7"/>
    </row>
    <row r="54" spans="1:13" x14ac:dyDescent="0.25">
      <c r="A54" s="6" t="s">
        <v>224</v>
      </c>
      <c r="B54" s="7" t="s">
        <v>225</v>
      </c>
      <c r="C54" s="7" t="s">
        <v>226</v>
      </c>
      <c r="D54" s="7" t="s">
        <v>227</v>
      </c>
      <c r="E54" s="8" t="s">
        <v>18</v>
      </c>
      <c r="F54" s="9"/>
      <c r="G54" s="6" t="s">
        <v>19</v>
      </c>
      <c r="H54" s="6" t="s">
        <v>49</v>
      </c>
      <c r="I54" s="6" t="s">
        <v>27</v>
      </c>
      <c r="J54" s="6" t="s">
        <v>573</v>
      </c>
      <c r="K54" s="6"/>
      <c r="L54" s="6"/>
      <c r="M54" s="7"/>
    </row>
    <row r="55" spans="1:13" x14ac:dyDescent="0.25">
      <c r="A55" s="6" t="s">
        <v>228</v>
      </c>
      <c r="B55" s="7" t="s">
        <v>229</v>
      </c>
      <c r="C55" s="7" t="s">
        <v>230</v>
      </c>
      <c r="D55" s="7" t="s">
        <v>231</v>
      </c>
      <c r="E55" s="8" t="s">
        <v>18</v>
      </c>
      <c r="F55" s="9"/>
      <c r="G55" s="6" t="s">
        <v>19</v>
      </c>
      <c r="H55" s="6" t="s">
        <v>49</v>
      </c>
      <c r="I55" s="6" t="s">
        <v>27</v>
      </c>
      <c r="J55" s="6" t="s">
        <v>573</v>
      </c>
      <c r="K55" s="6"/>
      <c r="L55" s="6"/>
      <c r="M55" s="7"/>
    </row>
    <row r="56" spans="1:13" x14ac:dyDescent="0.25">
      <c r="A56" s="6" t="s">
        <v>232</v>
      </c>
      <c r="B56" s="7" t="s">
        <v>233</v>
      </c>
      <c r="C56" s="7" t="s">
        <v>234</v>
      </c>
      <c r="D56" s="7" t="s">
        <v>235</v>
      </c>
      <c r="E56" s="8" t="s">
        <v>18</v>
      </c>
      <c r="F56" s="9"/>
      <c r="G56" s="6" t="s">
        <v>19</v>
      </c>
      <c r="H56" s="6" t="s">
        <v>68</v>
      </c>
      <c r="I56" s="6" t="s">
        <v>49</v>
      </c>
      <c r="J56" s="6" t="s">
        <v>573</v>
      </c>
      <c r="K56" s="6"/>
      <c r="L56" s="6"/>
      <c r="M56" s="7"/>
    </row>
    <row r="57" spans="1:13" x14ac:dyDescent="0.25">
      <c r="A57" s="6" t="s">
        <v>236</v>
      </c>
      <c r="B57" s="7" t="s">
        <v>237</v>
      </c>
      <c r="C57" s="7" t="s">
        <v>238</v>
      </c>
      <c r="D57" s="7" t="s">
        <v>239</v>
      </c>
      <c r="E57" s="8" t="s">
        <v>18</v>
      </c>
      <c r="F57" s="9"/>
      <c r="G57" s="6" t="s">
        <v>77</v>
      </c>
      <c r="H57" s="6" t="s">
        <v>49</v>
      </c>
      <c r="I57" s="6" t="s">
        <v>49</v>
      </c>
      <c r="J57" s="6" t="s">
        <v>573</v>
      </c>
      <c r="K57" s="6"/>
      <c r="L57" s="6"/>
      <c r="M57" s="7"/>
    </row>
    <row r="58" spans="1:13" x14ac:dyDescent="0.25">
      <c r="A58" s="6" t="s">
        <v>240</v>
      </c>
      <c r="B58" s="7" t="s">
        <v>241</v>
      </c>
      <c r="C58" s="7" t="s">
        <v>242</v>
      </c>
      <c r="D58" s="7" t="s">
        <v>243</v>
      </c>
      <c r="E58" s="8" t="s">
        <v>18</v>
      </c>
      <c r="F58" s="9"/>
      <c r="G58" s="6" t="s">
        <v>77</v>
      </c>
      <c r="H58" s="6" t="s">
        <v>49</v>
      </c>
      <c r="I58" s="6" t="s">
        <v>21</v>
      </c>
      <c r="J58" s="6" t="s">
        <v>573</v>
      </c>
      <c r="K58" s="6"/>
      <c r="L58" s="6"/>
      <c r="M58" s="7"/>
    </row>
    <row r="59" spans="1:13" ht="24.75" customHeight="1" x14ac:dyDescent="0.25">
      <c r="A59" s="4" t="s">
        <v>244</v>
      </c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</row>
    <row r="60" spans="1:13" ht="25.5" x14ac:dyDescent="0.25">
      <c r="A60" s="6" t="s">
        <v>245</v>
      </c>
      <c r="B60" s="7" t="s">
        <v>246</v>
      </c>
      <c r="C60" s="7" t="s">
        <v>247</v>
      </c>
      <c r="D60" s="7" t="s">
        <v>248</v>
      </c>
      <c r="E60" s="8" t="s">
        <v>18</v>
      </c>
      <c r="F60" s="9"/>
      <c r="G60" s="6" t="s">
        <v>82</v>
      </c>
      <c r="H60" s="6" t="s">
        <v>20</v>
      </c>
      <c r="I60" s="6" t="s">
        <v>21</v>
      </c>
      <c r="J60" s="6" t="s">
        <v>570</v>
      </c>
      <c r="K60" s="6"/>
      <c r="L60" s="6"/>
      <c r="M60" s="7"/>
    </row>
    <row r="61" spans="1:13" x14ac:dyDescent="0.25">
      <c r="A61" s="6" t="s">
        <v>249</v>
      </c>
      <c r="B61" s="7" t="s">
        <v>250</v>
      </c>
      <c r="C61" s="7" t="s">
        <v>251</v>
      </c>
      <c r="D61" s="7" t="s">
        <v>252</v>
      </c>
      <c r="E61" s="8" t="s">
        <v>18</v>
      </c>
      <c r="F61" s="9"/>
      <c r="G61" s="6" t="s">
        <v>77</v>
      </c>
      <c r="H61" s="6" t="s">
        <v>20</v>
      </c>
      <c r="I61" s="6" t="s">
        <v>27</v>
      </c>
      <c r="J61" s="6" t="s">
        <v>570</v>
      </c>
      <c r="K61" s="6"/>
      <c r="L61" s="6"/>
      <c r="M61" s="7"/>
    </row>
    <row r="62" spans="1:13" x14ac:dyDescent="0.25">
      <c r="A62" s="6" t="s">
        <v>253</v>
      </c>
      <c r="B62" s="7" t="s">
        <v>254</v>
      </c>
      <c r="C62" s="7" t="s">
        <v>255</v>
      </c>
      <c r="D62" s="7" t="s">
        <v>256</v>
      </c>
      <c r="E62" s="8" t="s">
        <v>18</v>
      </c>
      <c r="F62" s="9"/>
      <c r="G62" s="6" t="s">
        <v>19</v>
      </c>
      <c r="H62" s="6" t="s">
        <v>20</v>
      </c>
      <c r="I62" s="6" t="s">
        <v>27</v>
      </c>
      <c r="J62" s="6" t="s">
        <v>570</v>
      </c>
      <c r="K62" s="6"/>
      <c r="L62" s="6"/>
      <c r="M62" s="7"/>
    </row>
    <row r="63" spans="1:13" x14ac:dyDescent="0.25">
      <c r="A63" s="6" t="s">
        <v>257</v>
      </c>
      <c r="B63" s="7" t="s">
        <v>258</v>
      </c>
      <c r="C63" s="7" t="s">
        <v>259</v>
      </c>
      <c r="D63" s="7" t="s">
        <v>260</v>
      </c>
      <c r="E63" s="8" t="s">
        <v>18</v>
      </c>
      <c r="F63" s="9"/>
      <c r="G63" s="6" t="s">
        <v>215</v>
      </c>
      <c r="H63" s="6" t="s">
        <v>20</v>
      </c>
      <c r="I63" s="6" t="s">
        <v>21</v>
      </c>
      <c r="J63" s="6" t="s">
        <v>570</v>
      </c>
      <c r="K63" s="6"/>
      <c r="L63" s="6"/>
      <c r="M63" s="7"/>
    </row>
    <row r="64" spans="1:13" x14ac:dyDescent="0.25">
      <c r="A64" s="6" t="s">
        <v>261</v>
      </c>
      <c r="B64" s="7" t="s">
        <v>262</v>
      </c>
      <c r="C64" s="7" t="s">
        <v>263</v>
      </c>
      <c r="D64" s="7" t="s">
        <v>264</v>
      </c>
      <c r="E64" s="8" t="s">
        <v>18</v>
      </c>
      <c r="F64" s="9"/>
      <c r="G64" s="6" t="s">
        <v>19</v>
      </c>
      <c r="H64" s="6" t="s">
        <v>20</v>
      </c>
      <c r="I64" s="6" t="s">
        <v>27</v>
      </c>
      <c r="J64" s="6" t="s">
        <v>570</v>
      </c>
      <c r="K64" s="6"/>
      <c r="L64" s="6"/>
      <c r="M64" s="7"/>
    </row>
    <row r="65" spans="1:13" x14ac:dyDescent="0.25">
      <c r="A65" s="6" t="s">
        <v>265</v>
      </c>
      <c r="B65" s="7" t="s">
        <v>266</v>
      </c>
      <c r="C65" s="7" t="s">
        <v>267</v>
      </c>
      <c r="D65" s="7" t="s">
        <v>268</v>
      </c>
      <c r="E65" s="8" t="s">
        <v>18</v>
      </c>
      <c r="F65" s="9"/>
      <c r="G65" s="6" t="s">
        <v>54</v>
      </c>
      <c r="H65" s="6" t="s">
        <v>20</v>
      </c>
      <c r="I65" s="6" t="s">
        <v>27</v>
      </c>
      <c r="J65" s="6" t="s">
        <v>570</v>
      </c>
      <c r="K65" s="6"/>
      <c r="L65" s="6"/>
      <c r="M65" s="7"/>
    </row>
    <row r="66" spans="1:13" x14ac:dyDescent="0.25">
      <c r="A66" s="6" t="s">
        <v>269</v>
      </c>
      <c r="B66" s="7" t="s">
        <v>270</v>
      </c>
      <c r="C66" s="7" t="s">
        <v>271</v>
      </c>
      <c r="D66" s="7" t="s">
        <v>272</v>
      </c>
      <c r="E66" s="8" t="s">
        <v>18</v>
      </c>
      <c r="F66" s="9"/>
      <c r="G66" s="6" t="s">
        <v>82</v>
      </c>
      <c r="H66" s="6" t="s">
        <v>49</v>
      </c>
      <c r="I66" s="6" t="s">
        <v>49</v>
      </c>
      <c r="J66" s="6" t="s">
        <v>570</v>
      </c>
      <c r="K66" s="6"/>
      <c r="L66" s="6"/>
      <c r="M66" s="7"/>
    </row>
    <row r="67" spans="1:13" x14ac:dyDescent="0.25">
      <c r="A67" s="6" t="s">
        <v>273</v>
      </c>
      <c r="B67" s="7" t="s">
        <v>274</v>
      </c>
      <c r="C67" s="7" t="s">
        <v>275</v>
      </c>
      <c r="D67" s="7" t="s">
        <v>276</v>
      </c>
      <c r="E67" s="8" t="s">
        <v>18</v>
      </c>
      <c r="F67" s="9"/>
      <c r="G67" s="6" t="s">
        <v>82</v>
      </c>
      <c r="H67" s="6" t="s">
        <v>68</v>
      </c>
      <c r="I67" s="6" t="s">
        <v>49</v>
      </c>
      <c r="J67" s="6" t="s">
        <v>570</v>
      </c>
      <c r="K67" s="6"/>
      <c r="L67" s="6"/>
      <c r="M67" s="7"/>
    </row>
    <row r="68" spans="1:13" x14ac:dyDescent="0.25">
      <c r="A68" s="6" t="s">
        <v>277</v>
      </c>
      <c r="B68" s="7" t="s">
        <v>278</v>
      </c>
      <c r="C68" s="7" t="s">
        <v>279</v>
      </c>
      <c r="D68" s="7" t="s">
        <v>280</v>
      </c>
      <c r="E68" s="8" t="s">
        <v>18</v>
      </c>
      <c r="F68" s="9"/>
      <c r="G68" s="6" t="s">
        <v>82</v>
      </c>
      <c r="H68" s="6" t="s">
        <v>49</v>
      </c>
      <c r="I68" s="6" t="s">
        <v>21</v>
      </c>
      <c r="J68" s="6" t="s">
        <v>570</v>
      </c>
      <c r="K68" s="6"/>
      <c r="L68" s="6"/>
      <c r="M68" s="7"/>
    </row>
    <row r="69" spans="1:13" x14ac:dyDescent="0.25">
      <c r="A69" s="6" t="s">
        <v>281</v>
      </c>
      <c r="B69" s="7" t="s">
        <v>282</v>
      </c>
      <c r="C69" s="7" t="s">
        <v>283</v>
      </c>
      <c r="D69" s="7" t="s">
        <v>284</v>
      </c>
      <c r="E69" s="8" t="s">
        <v>18</v>
      </c>
      <c r="F69" s="9"/>
      <c r="G69" s="6" t="s">
        <v>82</v>
      </c>
      <c r="H69" s="6" t="s">
        <v>68</v>
      </c>
      <c r="I69" s="6" t="s">
        <v>49</v>
      </c>
      <c r="J69" s="6" t="s">
        <v>570</v>
      </c>
      <c r="K69" s="6"/>
      <c r="L69" s="6"/>
      <c r="M69" s="7"/>
    </row>
    <row r="70" spans="1:13" ht="24.75" customHeight="1" x14ac:dyDescent="0.25">
      <c r="A70" s="4" t="s">
        <v>285</v>
      </c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</row>
    <row r="71" spans="1:13" ht="25.5" x14ac:dyDescent="0.25">
      <c r="A71" s="6" t="s">
        <v>286</v>
      </c>
      <c r="B71" s="7" t="s">
        <v>287</v>
      </c>
      <c r="C71" s="7" t="s">
        <v>288</v>
      </c>
      <c r="D71" s="7" t="s">
        <v>289</v>
      </c>
      <c r="E71" s="8" t="s">
        <v>18</v>
      </c>
      <c r="F71" s="9"/>
      <c r="G71" s="6" t="s">
        <v>82</v>
      </c>
      <c r="H71" s="6" t="s">
        <v>20</v>
      </c>
      <c r="I71" s="6" t="s">
        <v>27</v>
      </c>
      <c r="J71" s="6" t="s">
        <v>573</v>
      </c>
      <c r="K71" s="6"/>
      <c r="L71" s="6"/>
      <c r="M71" s="7"/>
    </row>
    <row r="72" spans="1:13" ht="25.5" x14ac:dyDescent="0.25">
      <c r="A72" s="6" t="s">
        <v>290</v>
      </c>
      <c r="B72" s="7" t="s">
        <v>291</v>
      </c>
      <c r="C72" s="7" t="s">
        <v>292</v>
      </c>
      <c r="D72" s="7" t="s">
        <v>293</v>
      </c>
      <c r="E72" s="8" t="s">
        <v>18</v>
      </c>
      <c r="F72" s="9"/>
      <c r="G72" s="6" t="s">
        <v>19</v>
      </c>
      <c r="H72" s="6" t="s">
        <v>49</v>
      </c>
      <c r="I72" s="6" t="s">
        <v>27</v>
      </c>
      <c r="J72" s="6" t="s">
        <v>573</v>
      </c>
      <c r="K72" s="6"/>
      <c r="L72" s="6"/>
      <c r="M72" s="7"/>
    </row>
    <row r="73" spans="1:13" x14ac:dyDescent="0.25">
      <c r="A73" s="6" t="s">
        <v>294</v>
      </c>
      <c r="B73" s="7" t="s">
        <v>295</v>
      </c>
      <c r="C73" s="7" t="s">
        <v>296</v>
      </c>
      <c r="D73" s="7" t="s">
        <v>297</v>
      </c>
      <c r="E73" s="8" t="s">
        <v>18</v>
      </c>
      <c r="F73" s="9"/>
      <c r="G73" s="6" t="s">
        <v>82</v>
      </c>
      <c r="H73" s="6" t="s">
        <v>49</v>
      </c>
      <c r="I73" s="6" t="s">
        <v>49</v>
      </c>
      <c r="J73" s="6" t="s">
        <v>573</v>
      </c>
      <c r="K73" s="6"/>
      <c r="L73" s="6"/>
      <c r="M73" s="7"/>
    </row>
    <row r="74" spans="1:13" x14ac:dyDescent="0.25">
      <c r="A74" s="6" t="s">
        <v>298</v>
      </c>
      <c r="B74" s="7" t="s">
        <v>299</v>
      </c>
      <c r="C74" s="7" t="s">
        <v>300</v>
      </c>
      <c r="D74" s="7" t="s">
        <v>301</v>
      </c>
      <c r="E74" s="8" t="s">
        <v>18</v>
      </c>
      <c r="F74" s="9"/>
      <c r="G74" s="6" t="s">
        <v>82</v>
      </c>
      <c r="H74" s="6" t="s">
        <v>49</v>
      </c>
      <c r="I74" s="6" t="s">
        <v>49</v>
      </c>
      <c r="J74" s="6" t="s">
        <v>573</v>
      </c>
      <c r="K74" s="6"/>
      <c r="L74" s="6"/>
      <c r="M74" s="7"/>
    </row>
    <row r="75" spans="1:13" x14ac:dyDescent="0.25">
      <c r="A75" s="6" t="s">
        <v>302</v>
      </c>
      <c r="B75" s="7" t="s">
        <v>303</v>
      </c>
      <c r="C75" s="7" t="s">
        <v>304</v>
      </c>
      <c r="D75" s="7" t="s">
        <v>305</v>
      </c>
      <c r="E75" s="8" t="s">
        <v>18</v>
      </c>
      <c r="F75" s="9"/>
      <c r="G75" s="6" t="s">
        <v>82</v>
      </c>
      <c r="H75" s="6" t="s">
        <v>68</v>
      </c>
      <c r="I75" s="6" t="s">
        <v>49</v>
      </c>
      <c r="J75" s="6" t="s">
        <v>573</v>
      </c>
      <c r="K75" s="6"/>
      <c r="L75" s="6"/>
      <c r="M75" s="7"/>
    </row>
    <row r="76" spans="1:13" ht="25.5" x14ac:dyDescent="0.25">
      <c r="A76" s="6" t="s">
        <v>306</v>
      </c>
      <c r="B76" s="7" t="s">
        <v>307</v>
      </c>
      <c r="C76" s="7" t="s">
        <v>308</v>
      </c>
      <c r="D76" s="7" t="s">
        <v>309</v>
      </c>
      <c r="E76" s="8" t="s">
        <v>18</v>
      </c>
      <c r="F76" s="9"/>
      <c r="G76" s="6" t="s">
        <v>67</v>
      </c>
      <c r="H76" s="6" t="s">
        <v>68</v>
      </c>
      <c r="I76" s="6" t="s">
        <v>27</v>
      </c>
      <c r="J76" s="6" t="s">
        <v>573</v>
      </c>
      <c r="K76" s="6"/>
      <c r="L76" s="6"/>
      <c r="M76" s="7"/>
    </row>
    <row r="77" spans="1:13" x14ac:dyDescent="0.25">
      <c r="A77" s="6" t="s">
        <v>310</v>
      </c>
      <c r="B77" s="7" t="s">
        <v>311</v>
      </c>
      <c r="C77" s="7" t="s">
        <v>312</v>
      </c>
      <c r="D77" s="7" t="s">
        <v>313</v>
      </c>
      <c r="E77" s="8" t="s">
        <v>18</v>
      </c>
      <c r="F77" s="9"/>
      <c r="G77" s="6" t="s">
        <v>19</v>
      </c>
      <c r="H77" s="6" t="s">
        <v>68</v>
      </c>
      <c r="I77" s="6" t="s">
        <v>49</v>
      </c>
      <c r="J77" s="6" t="s">
        <v>573</v>
      </c>
      <c r="K77" s="6"/>
      <c r="L77" s="6"/>
      <c r="M77" s="7"/>
    </row>
    <row r="78" spans="1:13" ht="24.75" customHeight="1" x14ac:dyDescent="0.25">
      <c r="A78" s="4" t="s">
        <v>314</v>
      </c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</row>
    <row r="79" spans="1:13" ht="25.5" x14ac:dyDescent="0.25">
      <c r="A79" s="6" t="s">
        <v>315</v>
      </c>
      <c r="B79" s="7" t="s">
        <v>316</v>
      </c>
      <c r="C79" s="7" t="s">
        <v>317</v>
      </c>
      <c r="D79" s="7" t="s">
        <v>318</v>
      </c>
      <c r="E79" s="8" t="s">
        <v>18</v>
      </c>
      <c r="F79" s="9"/>
      <c r="G79" s="6" t="s">
        <v>82</v>
      </c>
      <c r="H79" s="6" t="s">
        <v>20</v>
      </c>
      <c r="I79" s="6" t="s">
        <v>27</v>
      </c>
      <c r="J79" s="6" t="s">
        <v>574</v>
      </c>
      <c r="K79" s="6"/>
      <c r="L79" s="6"/>
      <c r="M79" s="7"/>
    </row>
    <row r="80" spans="1:13" x14ac:dyDescent="0.25">
      <c r="A80" s="6" t="s">
        <v>320</v>
      </c>
      <c r="B80" s="7" t="s">
        <v>321</v>
      </c>
      <c r="C80" s="7" t="s">
        <v>322</v>
      </c>
      <c r="D80" s="7" t="s">
        <v>323</v>
      </c>
      <c r="E80" s="8" t="s">
        <v>18</v>
      </c>
      <c r="F80" s="9"/>
      <c r="G80" s="6" t="s">
        <v>77</v>
      </c>
      <c r="H80" s="6" t="s">
        <v>49</v>
      </c>
      <c r="I80" s="6" t="s">
        <v>27</v>
      </c>
      <c r="J80" s="6" t="s">
        <v>574</v>
      </c>
      <c r="K80" s="6"/>
      <c r="L80" s="6"/>
      <c r="M80" s="7"/>
    </row>
    <row r="81" spans="1:13" x14ac:dyDescent="0.25">
      <c r="A81" s="6" t="s">
        <v>324</v>
      </c>
      <c r="B81" s="7" t="s">
        <v>325</v>
      </c>
      <c r="C81" s="7" t="s">
        <v>326</v>
      </c>
      <c r="D81" s="7" t="s">
        <v>327</v>
      </c>
      <c r="E81" s="8" t="s">
        <v>18</v>
      </c>
      <c r="F81" s="9"/>
      <c r="G81" s="6" t="s">
        <v>19</v>
      </c>
      <c r="H81" s="6" t="s">
        <v>20</v>
      </c>
      <c r="I81" s="6" t="s">
        <v>27</v>
      </c>
      <c r="J81" s="6" t="s">
        <v>574</v>
      </c>
      <c r="K81" s="6"/>
      <c r="L81" s="6"/>
      <c r="M81" s="7"/>
    </row>
    <row r="82" spans="1:13" x14ac:dyDescent="0.25">
      <c r="A82" s="6" t="s">
        <v>328</v>
      </c>
      <c r="B82" s="7" t="s">
        <v>329</v>
      </c>
      <c r="C82" s="7" t="s">
        <v>330</v>
      </c>
      <c r="D82" s="7" t="s">
        <v>331</v>
      </c>
      <c r="E82" s="8" t="s">
        <v>18</v>
      </c>
      <c r="F82" s="9"/>
      <c r="G82" s="6" t="s">
        <v>19</v>
      </c>
      <c r="H82" s="6" t="s">
        <v>20</v>
      </c>
      <c r="I82" s="6" t="s">
        <v>27</v>
      </c>
      <c r="J82" s="6" t="s">
        <v>574</v>
      </c>
      <c r="K82" s="6"/>
      <c r="L82" s="6"/>
      <c r="M82" s="7"/>
    </row>
    <row r="83" spans="1:13" ht="25.5" x14ac:dyDescent="0.25">
      <c r="A83" s="6" t="s">
        <v>332</v>
      </c>
      <c r="B83" s="7" t="s">
        <v>333</v>
      </c>
      <c r="C83" s="7" t="s">
        <v>334</v>
      </c>
      <c r="D83" s="7" t="s">
        <v>335</v>
      </c>
      <c r="E83" s="8" t="s">
        <v>18</v>
      </c>
      <c r="F83" s="9"/>
      <c r="G83" s="6" t="s">
        <v>54</v>
      </c>
      <c r="H83" s="6" t="s">
        <v>20</v>
      </c>
      <c r="I83" s="6" t="s">
        <v>27</v>
      </c>
      <c r="J83" s="6" t="s">
        <v>574</v>
      </c>
      <c r="K83" s="6"/>
      <c r="L83" s="6"/>
      <c r="M83" s="7"/>
    </row>
    <row r="84" spans="1:13" x14ac:dyDescent="0.25">
      <c r="A84" s="6" t="s">
        <v>336</v>
      </c>
      <c r="B84" s="7" t="s">
        <v>337</v>
      </c>
      <c r="C84" s="7" t="s">
        <v>338</v>
      </c>
      <c r="D84" s="7" t="s">
        <v>339</v>
      </c>
      <c r="E84" s="8" t="s">
        <v>18</v>
      </c>
      <c r="F84" s="9"/>
      <c r="G84" s="6" t="s">
        <v>54</v>
      </c>
      <c r="H84" s="6" t="s">
        <v>49</v>
      </c>
      <c r="I84" s="6" t="s">
        <v>21</v>
      </c>
      <c r="J84" s="6" t="s">
        <v>574</v>
      </c>
      <c r="K84" s="6"/>
      <c r="L84" s="6"/>
      <c r="M84" s="7"/>
    </row>
    <row r="85" spans="1:13" x14ac:dyDescent="0.25">
      <c r="A85" s="6" t="s">
        <v>340</v>
      </c>
      <c r="B85" s="7" t="s">
        <v>341</v>
      </c>
      <c r="C85" s="7" t="s">
        <v>342</v>
      </c>
      <c r="D85" s="7" t="s">
        <v>343</v>
      </c>
      <c r="E85" s="8" t="s">
        <v>18</v>
      </c>
      <c r="F85" s="9"/>
      <c r="G85" s="6" t="s">
        <v>82</v>
      </c>
      <c r="H85" s="6" t="s">
        <v>20</v>
      </c>
      <c r="I85" s="6" t="s">
        <v>27</v>
      </c>
      <c r="J85" s="6" t="s">
        <v>574</v>
      </c>
      <c r="K85" s="6"/>
      <c r="L85" s="6"/>
      <c r="M85" s="7"/>
    </row>
    <row r="86" spans="1:13" x14ac:dyDescent="0.25">
      <c r="A86" s="6" t="s">
        <v>344</v>
      </c>
      <c r="B86" s="7" t="s">
        <v>345</v>
      </c>
      <c r="C86" s="7" t="s">
        <v>346</v>
      </c>
      <c r="D86" s="7" t="s">
        <v>347</v>
      </c>
      <c r="E86" s="8" t="s">
        <v>18</v>
      </c>
      <c r="F86" s="9"/>
      <c r="G86" s="6" t="s">
        <v>77</v>
      </c>
      <c r="H86" s="6" t="s">
        <v>20</v>
      </c>
      <c r="I86" s="6" t="s">
        <v>27</v>
      </c>
      <c r="J86" s="6" t="s">
        <v>574</v>
      </c>
      <c r="K86" s="6"/>
      <c r="L86" s="6"/>
      <c r="M86" s="7"/>
    </row>
    <row r="87" spans="1:13" x14ac:dyDescent="0.25">
      <c r="A87" s="6" t="s">
        <v>348</v>
      </c>
      <c r="B87" s="7" t="s">
        <v>349</v>
      </c>
      <c r="C87" s="7" t="s">
        <v>350</v>
      </c>
      <c r="D87" s="7" t="s">
        <v>351</v>
      </c>
      <c r="E87" s="8" t="s">
        <v>18</v>
      </c>
      <c r="F87" s="9"/>
      <c r="G87" s="6" t="s">
        <v>19</v>
      </c>
      <c r="H87" s="6" t="s">
        <v>20</v>
      </c>
      <c r="I87" s="6" t="s">
        <v>27</v>
      </c>
      <c r="J87" s="6" t="s">
        <v>574</v>
      </c>
      <c r="K87" s="6"/>
      <c r="L87" s="6"/>
      <c r="M87" s="7"/>
    </row>
    <row r="88" spans="1:13" ht="25.5" x14ac:dyDescent="0.25">
      <c r="A88" s="6" t="s">
        <v>352</v>
      </c>
      <c r="B88" s="7" t="s">
        <v>353</v>
      </c>
      <c r="C88" s="7" t="s">
        <v>354</v>
      </c>
      <c r="D88" s="7" t="s">
        <v>355</v>
      </c>
      <c r="E88" s="8" t="s">
        <v>18</v>
      </c>
      <c r="F88" s="9"/>
      <c r="G88" s="6" t="s">
        <v>77</v>
      </c>
      <c r="H88" s="6" t="s">
        <v>49</v>
      </c>
      <c r="I88" s="6" t="s">
        <v>49</v>
      </c>
      <c r="J88" s="6" t="s">
        <v>574</v>
      </c>
      <c r="K88" s="6"/>
      <c r="L88" s="6"/>
      <c r="M88" s="7"/>
    </row>
    <row r="89" spans="1:13" ht="25.5" x14ac:dyDescent="0.25">
      <c r="A89" s="6" t="s">
        <v>356</v>
      </c>
      <c r="B89" s="7" t="s">
        <v>357</v>
      </c>
      <c r="C89" s="7" t="s">
        <v>358</v>
      </c>
      <c r="D89" s="7" t="s">
        <v>359</v>
      </c>
      <c r="E89" s="8" t="s">
        <v>18</v>
      </c>
      <c r="F89" s="9"/>
      <c r="G89" s="6" t="s">
        <v>77</v>
      </c>
      <c r="H89" s="6" t="s">
        <v>49</v>
      </c>
      <c r="I89" s="6" t="s">
        <v>21</v>
      </c>
      <c r="J89" s="6" t="s">
        <v>574</v>
      </c>
      <c r="K89" s="6"/>
      <c r="L89" s="6"/>
      <c r="M89" s="7"/>
    </row>
    <row r="90" spans="1:13" x14ac:dyDescent="0.25">
      <c r="A90" s="6" t="s">
        <v>360</v>
      </c>
      <c r="B90" s="7" t="s">
        <v>361</v>
      </c>
      <c r="C90" s="7" t="s">
        <v>362</v>
      </c>
      <c r="D90" s="7" t="s">
        <v>363</v>
      </c>
      <c r="E90" s="8" t="s">
        <v>18</v>
      </c>
      <c r="F90" s="9"/>
      <c r="G90" s="6" t="s">
        <v>82</v>
      </c>
      <c r="H90" s="6" t="s">
        <v>49</v>
      </c>
      <c r="I90" s="6" t="s">
        <v>49</v>
      </c>
      <c r="J90" s="6" t="s">
        <v>574</v>
      </c>
      <c r="K90" s="6"/>
      <c r="L90" s="6"/>
      <c r="M90" s="7"/>
    </row>
    <row r="91" spans="1:13" ht="24.75" customHeight="1" x14ac:dyDescent="0.25">
      <c r="A91" s="4" t="s">
        <v>364</v>
      </c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</row>
    <row r="92" spans="1:13" ht="25.5" x14ac:dyDescent="0.25">
      <c r="A92" s="6" t="s">
        <v>365</v>
      </c>
      <c r="B92" s="7" t="s">
        <v>366</v>
      </c>
      <c r="C92" s="7" t="s">
        <v>367</v>
      </c>
      <c r="D92" s="7" t="s">
        <v>368</v>
      </c>
      <c r="E92" s="8" t="s">
        <v>18</v>
      </c>
      <c r="F92" s="9"/>
      <c r="G92" s="6" t="s">
        <v>215</v>
      </c>
      <c r="H92" s="6" t="s">
        <v>20</v>
      </c>
      <c r="I92" s="6" t="s">
        <v>27</v>
      </c>
      <c r="J92" s="6" t="s">
        <v>574</v>
      </c>
      <c r="K92" s="6"/>
      <c r="L92" s="6"/>
      <c r="M92" s="7"/>
    </row>
    <row r="93" spans="1:13" x14ac:dyDescent="0.25">
      <c r="A93" s="6" t="s">
        <v>369</v>
      </c>
      <c r="B93" s="7" t="s">
        <v>370</v>
      </c>
      <c r="C93" s="7" t="s">
        <v>371</v>
      </c>
      <c r="D93" s="7" t="s">
        <v>372</v>
      </c>
      <c r="E93" s="8" t="s">
        <v>18</v>
      </c>
      <c r="F93" s="9"/>
      <c r="G93" s="6" t="s">
        <v>215</v>
      </c>
      <c r="H93" s="6" t="s">
        <v>20</v>
      </c>
      <c r="I93" s="6" t="s">
        <v>27</v>
      </c>
      <c r="J93" s="6" t="s">
        <v>574</v>
      </c>
      <c r="K93" s="6"/>
      <c r="L93" s="6"/>
      <c r="M93" s="7"/>
    </row>
    <row r="94" spans="1:13" x14ac:dyDescent="0.25">
      <c r="A94" s="6" t="s">
        <v>373</v>
      </c>
      <c r="B94" s="7" t="s">
        <v>374</v>
      </c>
      <c r="C94" s="7" t="s">
        <v>375</v>
      </c>
      <c r="D94" s="7" t="s">
        <v>376</v>
      </c>
      <c r="E94" s="8" t="s">
        <v>18</v>
      </c>
      <c r="F94" s="9"/>
      <c r="G94" s="6" t="s">
        <v>215</v>
      </c>
      <c r="H94" s="6" t="s">
        <v>20</v>
      </c>
      <c r="I94" s="6" t="s">
        <v>21</v>
      </c>
      <c r="J94" s="6" t="s">
        <v>574</v>
      </c>
      <c r="K94" s="6"/>
      <c r="L94" s="6"/>
      <c r="M94" s="7"/>
    </row>
    <row r="95" spans="1:13" x14ac:dyDescent="0.25">
      <c r="A95" s="6" t="s">
        <v>377</v>
      </c>
      <c r="B95" s="7" t="s">
        <v>378</v>
      </c>
      <c r="C95" s="7" t="s">
        <v>379</v>
      </c>
      <c r="D95" s="7" t="s">
        <v>380</v>
      </c>
      <c r="E95" s="8" t="s">
        <v>18</v>
      </c>
      <c r="F95" s="9"/>
      <c r="G95" s="6" t="s">
        <v>381</v>
      </c>
      <c r="H95" s="6" t="s">
        <v>20</v>
      </c>
      <c r="I95" s="6" t="s">
        <v>27</v>
      </c>
      <c r="J95" s="6" t="s">
        <v>574</v>
      </c>
      <c r="K95" s="6"/>
      <c r="L95" s="6"/>
      <c r="M95" s="7"/>
    </row>
    <row r="96" spans="1:13" x14ac:dyDescent="0.25">
      <c r="A96" s="6" t="s">
        <v>382</v>
      </c>
      <c r="B96" s="7" t="s">
        <v>383</v>
      </c>
      <c r="C96" s="7" t="s">
        <v>384</v>
      </c>
      <c r="D96" s="7" t="s">
        <v>385</v>
      </c>
      <c r="E96" s="8" t="s">
        <v>18</v>
      </c>
      <c r="F96" s="9"/>
      <c r="G96" s="6" t="s">
        <v>19</v>
      </c>
      <c r="H96" s="6" t="s">
        <v>49</v>
      </c>
      <c r="I96" s="6" t="s">
        <v>27</v>
      </c>
      <c r="J96" s="6" t="s">
        <v>574</v>
      </c>
      <c r="K96" s="6"/>
      <c r="L96" s="6"/>
      <c r="M96" s="7"/>
    </row>
    <row r="97" spans="1:13" ht="25.5" x14ac:dyDescent="0.25">
      <c r="A97" s="6" t="s">
        <v>386</v>
      </c>
      <c r="B97" s="7" t="s">
        <v>387</v>
      </c>
      <c r="C97" s="7" t="s">
        <v>388</v>
      </c>
      <c r="D97" s="7" t="s">
        <v>389</v>
      </c>
      <c r="E97" s="8" t="s">
        <v>18</v>
      </c>
      <c r="F97" s="9"/>
      <c r="G97" s="6" t="s">
        <v>67</v>
      </c>
      <c r="H97" s="6" t="s">
        <v>49</v>
      </c>
      <c r="I97" s="6" t="s">
        <v>27</v>
      </c>
      <c r="J97" s="6" t="s">
        <v>574</v>
      </c>
      <c r="K97" s="6"/>
      <c r="L97" s="6"/>
      <c r="M97" s="7"/>
    </row>
    <row r="98" spans="1:13" x14ac:dyDescent="0.25">
      <c r="A98" s="6" t="s">
        <v>390</v>
      </c>
      <c r="B98" s="7" t="s">
        <v>391</v>
      </c>
      <c r="C98" s="7" t="s">
        <v>392</v>
      </c>
      <c r="D98" s="7" t="s">
        <v>393</v>
      </c>
      <c r="E98" s="8" t="s">
        <v>18</v>
      </c>
      <c r="F98" s="9"/>
      <c r="G98" s="6" t="s">
        <v>77</v>
      </c>
      <c r="H98" s="6" t="s">
        <v>49</v>
      </c>
      <c r="I98" s="6" t="s">
        <v>49</v>
      </c>
      <c r="J98" s="6" t="s">
        <v>574</v>
      </c>
      <c r="K98" s="6"/>
      <c r="L98" s="6"/>
      <c r="M98" s="7"/>
    </row>
    <row r="99" spans="1:13" x14ac:dyDescent="0.25">
      <c r="A99" s="6" t="s">
        <v>394</v>
      </c>
      <c r="B99" s="7" t="s">
        <v>395</v>
      </c>
      <c r="C99" s="7" t="s">
        <v>396</v>
      </c>
      <c r="D99" s="7" t="s">
        <v>397</v>
      </c>
      <c r="E99" s="8" t="s">
        <v>18</v>
      </c>
      <c r="F99" s="9"/>
      <c r="G99" s="6" t="s">
        <v>77</v>
      </c>
      <c r="H99" s="6" t="s">
        <v>49</v>
      </c>
      <c r="I99" s="6" t="s">
        <v>27</v>
      </c>
      <c r="J99" s="6" t="s">
        <v>574</v>
      </c>
      <c r="K99" s="6"/>
      <c r="L99" s="6"/>
      <c r="M99" s="7"/>
    </row>
    <row r="100" spans="1:13" ht="25.5" x14ac:dyDescent="0.25">
      <c r="A100" s="6" t="s">
        <v>398</v>
      </c>
      <c r="B100" s="7" t="s">
        <v>399</v>
      </c>
      <c r="C100" s="7" t="s">
        <v>400</v>
      </c>
      <c r="D100" s="7" t="s">
        <v>401</v>
      </c>
      <c r="E100" s="8" t="s">
        <v>18</v>
      </c>
      <c r="F100" s="9"/>
      <c r="G100" s="6" t="s">
        <v>402</v>
      </c>
      <c r="H100" s="6" t="s">
        <v>20</v>
      </c>
      <c r="I100" s="6" t="s">
        <v>21</v>
      </c>
      <c r="J100" s="6" t="s">
        <v>574</v>
      </c>
      <c r="K100" s="6"/>
      <c r="L100" s="6"/>
      <c r="M100" s="7"/>
    </row>
    <row r="101" spans="1:13" x14ac:dyDescent="0.25">
      <c r="A101" s="6" t="s">
        <v>403</v>
      </c>
      <c r="B101" s="7" t="s">
        <v>404</v>
      </c>
      <c r="C101" s="7" t="s">
        <v>405</v>
      </c>
      <c r="D101" s="7" t="s">
        <v>406</v>
      </c>
      <c r="E101" s="8" t="s">
        <v>18</v>
      </c>
      <c r="F101" s="9"/>
      <c r="G101" s="6" t="s">
        <v>215</v>
      </c>
      <c r="H101" s="6" t="s">
        <v>68</v>
      </c>
      <c r="I101" s="6" t="s">
        <v>49</v>
      </c>
      <c r="J101" s="6" t="s">
        <v>574</v>
      </c>
      <c r="K101" s="6"/>
      <c r="L101" s="6"/>
      <c r="M101" s="7"/>
    </row>
    <row r="102" spans="1:13" ht="24.75" customHeight="1" x14ac:dyDescent="0.25">
      <c r="A102" s="4" t="s">
        <v>407</v>
      </c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</row>
    <row r="103" spans="1:13" ht="25.5" x14ac:dyDescent="0.25">
      <c r="A103" s="6" t="s">
        <v>408</v>
      </c>
      <c r="B103" s="7" t="s">
        <v>409</v>
      </c>
      <c r="C103" s="7" t="s">
        <v>410</v>
      </c>
      <c r="D103" s="7" t="s">
        <v>411</v>
      </c>
      <c r="E103" s="8" t="s">
        <v>18</v>
      </c>
      <c r="F103" s="9"/>
      <c r="G103" s="6" t="s">
        <v>82</v>
      </c>
      <c r="H103" s="6" t="s">
        <v>20</v>
      </c>
      <c r="I103" s="6" t="s">
        <v>27</v>
      </c>
      <c r="J103" s="6" t="s">
        <v>569</v>
      </c>
      <c r="K103" s="6"/>
      <c r="L103" s="6"/>
      <c r="M103" s="7"/>
    </row>
    <row r="104" spans="1:13" ht="25.5" x14ac:dyDescent="0.25">
      <c r="A104" s="6" t="s">
        <v>412</v>
      </c>
      <c r="B104" s="7" t="s">
        <v>413</v>
      </c>
      <c r="C104" s="7" t="s">
        <v>414</v>
      </c>
      <c r="D104" s="7" t="s">
        <v>415</v>
      </c>
      <c r="E104" s="8" t="s">
        <v>18</v>
      </c>
      <c r="F104" s="9"/>
      <c r="G104" s="6" t="s">
        <v>19</v>
      </c>
      <c r="H104" s="6" t="s">
        <v>20</v>
      </c>
      <c r="I104" s="6" t="s">
        <v>27</v>
      </c>
      <c r="J104" s="6" t="s">
        <v>569</v>
      </c>
      <c r="K104" s="6"/>
      <c r="L104" s="6"/>
      <c r="M104" s="7"/>
    </row>
    <row r="105" spans="1:13" x14ac:dyDescent="0.25">
      <c r="A105" s="6" t="s">
        <v>416</v>
      </c>
      <c r="B105" s="7" t="s">
        <v>417</v>
      </c>
      <c r="C105" s="7" t="s">
        <v>418</v>
      </c>
      <c r="D105" s="7" t="s">
        <v>419</v>
      </c>
      <c r="E105" s="8" t="s">
        <v>18</v>
      </c>
      <c r="F105" s="9"/>
      <c r="G105" s="6" t="s">
        <v>54</v>
      </c>
      <c r="H105" s="6" t="s">
        <v>20</v>
      </c>
      <c r="I105" s="6" t="s">
        <v>27</v>
      </c>
      <c r="J105" s="6" t="s">
        <v>569</v>
      </c>
      <c r="K105" s="6"/>
      <c r="L105" s="6"/>
      <c r="M105" s="7"/>
    </row>
    <row r="106" spans="1:13" ht="25.5" x14ac:dyDescent="0.25">
      <c r="A106" s="6" t="s">
        <v>420</v>
      </c>
      <c r="B106" s="7" t="s">
        <v>421</v>
      </c>
      <c r="C106" s="7" t="s">
        <v>422</v>
      </c>
      <c r="D106" s="7" t="s">
        <v>423</v>
      </c>
      <c r="E106" s="8" t="s">
        <v>18</v>
      </c>
      <c r="F106" s="9"/>
      <c r="G106" s="6" t="s">
        <v>19</v>
      </c>
      <c r="H106" s="6" t="s">
        <v>49</v>
      </c>
      <c r="I106" s="6" t="s">
        <v>27</v>
      </c>
      <c r="J106" s="6" t="s">
        <v>569</v>
      </c>
      <c r="K106" s="6"/>
      <c r="L106" s="6"/>
      <c r="M106" s="7"/>
    </row>
    <row r="107" spans="1:13" ht="25.5" x14ac:dyDescent="0.25">
      <c r="A107" s="6" t="s">
        <v>424</v>
      </c>
      <c r="B107" s="7" t="s">
        <v>425</v>
      </c>
      <c r="C107" s="7" t="s">
        <v>426</v>
      </c>
      <c r="D107" s="7" t="s">
        <v>427</v>
      </c>
      <c r="E107" s="8" t="s">
        <v>18</v>
      </c>
      <c r="F107" s="9"/>
      <c r="G107" s="6" t="s">
        <v>77</v>
      </c>
      <c r="H107" s="6" t="s">
        <v>20</v>
      </c>
      <c r="I107" s="6" t="s">
        <v>21</v>
      </c>
      <c r="J107" s="6" t="s">
        <v>569</v>
      </c>
      <c r="K107" s="6"/>
      <c r="L107" s="6"/>
      <c r="M107" s="7"/>
    </row>
    <row r="108" spans="1:13" x14ac:dyDescent="0.25">
      <c r="A108" s="6" t="s">
        <v>428</v>
      </c>
      <c r="B108" s="7" t="s">
        <v>429</v>
      </c>
      <c r="C108" s="7" t="s">
        <v>430</v>
      </c>
      <c r="D108" s="7" t="s">
        <v>431</v>
      </c>
      <c r="E108" s="8" t="s">
        <v>18</v>
      </c>
      <c r="F108" s="9"/>
      <c r="G108" s="6" t="s">
        <v>19</v>
      </c>
      <c r="H108" s="6" t="s">
        <v>20</v>
      </c>
      <c r="I108" s="6" t="s">
        <v>21</v>
      </c>
      <c r="J108" s="6" t="s">
        <v>569</v>
      </c>
      <c r="K108" s="6"/>
      <c r="L108" s="6"/>
      <c r="M108" s="7"/>
    </row>
    <row r="109" spans="1:13" x14ac:dyDescent="0.25">
      <c r="A109" s="6" t="s">
        <v>432</v>
      </c>
      <c r="B109" s="7" t="s">
        <v>433</v>
      </c>
      <c r="C109" s="7" t="s">
        <v>434</v>
      </c>
      <c r="D109" s="7" t="s">
        <v>435</v>
      </c>
      <c r="E109" s="8" t="s">
        <v>18</v>
      </c>
      <c r="F109" s="9"/>
      <c r="G109" s="6" t="s">
        <v>54</v>
      </c>
      <c r="H109" s="6" t="s">
        <v>49</v>
      </c>
      <c r="I109" s="6" t="s">
        <v>27</v>
      </c>
      <c r="J109" s="6" t="s">
        <v>569</v>
      </c>
      <c r="K109" s="6"/>
      <c r="L109" s="6"/>
      <c r="M109" s="7"/>
    </row>
    <row r="110" spans="1:13" x14ac:dyDescent="0.25">
      <c r="A110" s="6" t="s">
        <v>436</v>
      </c>
      <c r="B110" s="7" t="s">
        <v>437</v>
      </c>
      <c r="C110" s="7" t="s">
        <v>438</v>
      </c>
      <c r="D110" s="7" t="s">
        <v>439</v>
      </c>
      <c r="E110" s="8" t="s">
        <v>18</v>
      </c>
      <c r="F110" s="9"/>
      <c r="G110" s="6" t="s">
        <v>82</v>
      </c>
      <c r="H110" s="6" t="s">
        <v>20</v>
      </c>
      <c r="I110" s="6" t="s">
        <v>27</v>
      </c>
      <c r="J110" s="6" t="s">
        <v>569</v>
      </c>
      <c r="K110" s="6"/>
      <c r="L110" s="6"/>
      <c r="M110" s="7"/>
    </row>
    <row r="111" spans="1:13" ht="25.5" x14ac:dyDescent="0.25">
      <c r="A111" s="6" t="s">
        <v>440</v>
      </c>
      <c r="B111" s="7" t="s">
        <v>441</v>
      </c>
      <c r="C111" s="7" t="s">
        <v>442</v>
      </c>
      <c r="D111" s="7" t="s">
        <v>443</v>
      </c>
      <c r="E111" s="8" t="s">
        <v>18</v>
      </c>
      <c r="F111" s="9"/>
      <c r="G111" s="6" t="s">
        <v>82</v>
      </c>
      <c r="H111" s="6" t="s">
        <v>49</v>
      </c>
      <c r="I111" s="6" t="s">
        <v>49</v>
      </c>
      <c r="J111" s="6" t="s">
        <v>569</v>
      </c>
      <c r="K111" s="6"/>
      <c r="L111" s="6"/>
      <c r="M111" s="7"/>
    </row>
    <row r="112" spans="1:13" ht="25.5" x14ac:dyDescent="0.25">
      <c r="A112" s="6" t="s">
        <v>444</v>
      </c>
      <c r="B112" s="7" t="s">
        <v>445</v>
      </c>
      <c r="C112" s="7" t="s">
        <v>446</v>
      </c>
      <c r="D112" s="7" t="s">
        <v>447</v>
      </c>
      <c r="E112" s="8" t="s">
        <v>18</v>
      </c>
      <c r="F112" s="9"/>
      <c r="G112" s="6" t="s">
        <v>215</v>
      </c>
      <c r="H112" s="6" t="s">
        <v>20</v>
      </c>
      <c r="I112" s="6" t="s">
        <v>27</v>
      </c>
      <c r="J112" s="6" t="s">
        <v>569</v>
      </c>
      <c r="K112" s="6"/>
      <c r="L112" s="6"/>
      <c r="M112" s="7"/>
    </row>
    <row r="113" spans="1:13" x14ac:dyDescent="0.25">
      <c r="A113" s="6" t="s">
        <v>448</v>
      </c>
      <c r="B113" s="7" t="s">
        <v>449</v>
      </c>
      <c r="C113" s="7" t="s">
        <v>450</v>
      </c>
      <c r="D113" s="7" t="s">
        <v>451</v>
      </c>
      <c r="E113" s="8" t="s">
        <v>18</v>
      </c>
      <c r="F113" s="9"/>
      <c r="G113" s="6" t="s">
        <v>77</v>
      </c>
      <c r="H113" s="6" t="s">
        <v>49</v>
      </c>
      <c r="I113" s="6" t="s">
        <v>27</v>
      </c>
      <c r="J113" s="6" t="s">
        <v>569</v>
      </c>
      <c r="K113" s="6"/>
      <c r="L113" s="6"/>
      <c r="M113" s="7"/>
    </row>
    <row r="114" spans="1:13" x14ac:dyDescent="0.25">
      <c r="A114" s="6" t="s">
        <v>452</v>
      </c>
      <c r="B114" s="7" t="s">
        <v>453</v>
      </c>
      <c r="C114" s="7" t="s">
        <v>454</v>
      </c>
      <c r="D114" s="7" t="s">
        <v>455</v>
      </c>
      <c r="E114" s="8" t="s">
        <v>18</v>
      </c>
      <c r="F114" s="9"/>
      <c r="G114" s="6" t="s">
        <v>82</v>
      </c>
      <c r="H114" s="6" t="s">
        <v>49</v>
      </c>
      <c r="I114" s="6" t="s">
        <v>21</v>
      </c>
      <c r="J114" s="6" t="s">
        <v>569</v>
      </c>
      <c r="K114" s="6"/>
      <c r="L114" s="6"/>
      <c r="M114" s="7"/>
    </row>
    <row r="115" spans="1:13" x14ac:dyDescent="0.25">
      <c r="A115" s="6" t="s">
        <v>456</v>
      </c>
      <c r="B115" s="7" t="s">
        <v>457</v>
      </c>
      <c r="C115" s="7" t="s">
        <v>458</v>
      </c>
      <c r="D115" s="7" t="s">
        <v>459</v>
      </c>
      <c r="E115" s="8" t="s">
        <v>18</v>
      </c>
      <c r="F115" s="9"/>
      <c r="G115" s="6" t="s">
        <v>77</v>
      </c>
      <c r="H115" s="6" t="s">
        <v>49</v>
      </c>
      <c r="I115" s="6" t="s">
        <v>49</v>
      </c>
      <c r="J115" s="6" t="s">
        <v>569</v>
      </c>
      <c r="K115" s="6"/>
      <c r="L115" s="6"/>
      <c r="M115" s="7"/>
    </row>
    <row r="116" spans="1:13" ht="25.5" x14ac:dyDescent="0.25">
      <c r="A116" s="6" t="s">
        <v>460</v>
      </c>
      <c r="B116" s="7" t="s">
        <v>461</v>
      </c>
      <c r="C116" s="7" t="s">
        <v>462</v>
      </c>
      <c r="D116" s="7" t="s">
        <v>463</v>
      </c>
      <c r="E116" s="8" t="s">
        <v>18</v>
      </c>
      <c r="F116" s="9"/>
      <c r="G116" s="6" t="s">
        <v>82</v>
      </c>
      <c r="H116" s="6" t="s">
        <v>20</v>
      </c>
      <c r="I116" s="6" t="s">
        <v>49</v>
      </c>
      <c r="J116" s="6" t="s">
        <v>569</v>
      </c>
      <c r="K116" s="6"/>
      <c r="L116" s="6"/>
      <c r="M116" s="7"/>
    </row>
    <row r="117" spans="1:13" ht="24.75" customHeight="1" x14ac:dyDescent="0.25">
      <c r="A117" s="4" t="s">
        <v>464</v>
      </c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</row>
    <row r="118" spans="1:13" x14ac:dyDescent="0.25">
      <c r="A118" s="6" t="s">
        <v>465</v>
      </c>
      <c r="B118" s="7" t="s">
        <v>466</v>
      </c>
      <c r="C118" s="7" t="s">
        <v>467</v>
      </c>
      <c r="D118" s="7" t="s">
        <v>468</v>
      </c>
      <c r="E118" s="8" t="s">
        <v>18</v>
      </c>
      <c r="F118" s="9"/>
      <c r="G118" s="6" t="s">
        <v>82</v>
      </c>
      <c r="H118" s="6" t="s">
        <v>20</v>
      </c>
      <c r="I118" s="6" t="s">
        <v>27</v>
      </c>
      <c r="J118" s="6" t="s">
        <v>569</v>
      </c>
      <c r="K118" s="6"/>
      <c r="L118" s="6"/>
      <c r="M118" s="7"/>
    </row>
    <row r="119" spans="1:13" x14ac:dyDescent="0.25">
      <c r="A119" s="6" t="s">
        <v>470</v>
      </c>
      <c r="B119" s="7" t="s">
        <v>471</v>
      </c>
      <c r="C119" s="7" t="s">
        <v>472</v>
      </c>
      <c r="D119" s="7" t="s">
        <v>473</v>
      </c>
      <c r="E119" s="8" t="s">
        <v>18</v>
      </c>
      <c r="F119" s="9"/>
      <c r="G119" s="6" t="s">
        <v>19</v>
      </c>
      <c r="H119" s="6" t="s">
        <v>20</v>
      </c>
      <c r="I119" s="6" t="s">
        <v>27</v>
      </c>
      <c r="J119" s="6" t="s">
        <v>569</v>
      </c>
      <c r="K119" s="6"/>
      <c r="L119" s="6"/>
      <c r="M119" s="7"/>
    </row>
    <row r="120" spans="1:13" x14ac:dyDescent="0.25">
      <c r="A120" s="6" t="s">
        <v>474</v>
      </c>
      <c r="B120" s="7" t="s">
        <v>475</v>
      </c>
      <c r="C120" s="7" t="s">
        <v>476</v>
      </c>
      <c r="D120" s="7" t="s">
        <v>477</v>
      </c>
      <c r="E120" s="8" t="s">
        <v>18</v>
      </c>
      <c r="F120" s="9"/>
      <c r="G120" s="6" t="s">
        <v>19</v>
      </c>
      <c r="H120" s="6" t="s">
        <v>49</v>
      </c>
      <c r="I120" s="6" t="s">
        <v>21</v>
      </c>
      <c r="J120" s="6" t="s">
        <v>569</v>
      </c>
      <c r="K120" s="6"/>
      <c r="L120" s="6"/>
      <c r="M120" s="7"/>
    </row>
    <row r="121" spans="1:13" x14ac:dyDescent="0.25">
      <c r="A121" s="6" t="s">
        <v>478</v>
      </c>
      <c r="B121" s="7" t="s">
        <v>479</v>
      </c>
      <c r="C121" s="7" t="s">
        <v>480</v>
      </c>
      <c r="D121" s="7" t="s">
        <v>481</v>
      </c>
      <c r="E121" s="8" t="s">
        <v>18</v>
      </c>
      <c r="F121" s="9"/>
      <c r="G121" s="6" t="s">
        <v>40</v>
      </c>
      <c r="H121" s="6" t="s">
        <v>20</v>
      </c>
      <c r="I121" s="6" t="s">
        <v>27</v>
      </c>
      <c r="J121" s="6" t="s">
        <v>569</v>
      </c>
      <c r="K121" s="6"/>
      <c r="L121" s="6"/>
      <c r="M121" s="7"/>
    </row>
    <row r="122" spans="1:13" x14ac:dyDescent="0.25">
      <c r="A122" s="6" t="s">
        <v>482</v>
      </c>
      <c r="B122" s="7" t="s">
        <v>483</v>
      </c>
      <c r="C122" s="7" t="s">
        <v>484</v>
      </c>
      <c r="D122" s="7" t="s">
        <v>481</v>
      </c>
      <c r="E122" s="8" t="s">
        <v>18</v>
      </c>
      <c r="F122" s="9"/>
      <c r="G122" s="6" t="s">
        <v>19</v>
      </c>
      <c r="H122" s="6" t="s">
        <v>49</v>
      </c>
      <c r="I122" s="6" t="s">
        <v>27</v>
      </c>
      <c r="J122" s="6" t="s">
        <v>569</v>
      </c>
      <c r="K122" s="6"/>
      <c r="L122" s="6"/>
      <c r="M122" s="7"/>
    </row>
    <row r="123" spans="1:13" x14ac:dyDescent="0.25">
      <c r="A123" s="6" t="s">
        <v>485</v>
      </c>
      <c r="B123" s="7" t="s">
        <v>486</v>
      </c>
      <c r="C123" s="7" t="s">
        <v>487</v>
      </c>
      <c r="D123" s="7" t="s">
        <v>488</v>
      </c>
      <c r="E123" s="8" t="s">
        <v>18</v>
      </c>
      <c r="F123" s="9"/>
      <c r="G123" s="6" t="s">
        <v>82</v>
      </c>
      <c r="H123" s="6" t="s">
        <v>49</v>
      </c>
      <c r="I123" s="6" t="s">
        <v>21</v>
      </c>
      <c r="J123" s="6" t="s">
        <v>569</v>
      </c>
      <c r="K123" s="6"/>
      <c r="L123" s="6"/>
      <c r="M123" s="7"/>
    </row>
    <row r="124" spans="1:13" ht="25.5" x14ac:dyDescent="0.25">
      <c r="A124" s="6" t="s">
        <v>489</v>
      </c>
      <c r="B124" s="7" t="s">
        <v>490</v>
      </c>
      <c r="C124" s="7" t="s">
        <v>491</v>
      </c>
      <c r="D124" s="7" t="s">
        <v>492</v>
      </c>
      <c r="E124" s="8" t="s">
        <v>18</v>
      </c>
      <c r="F124" s="9"/>
      <c r="G124" s="6" t="s">
        <v>77</v>
      </c>
      <c r="H124" s="6" t="s">
        <v>20</v>
      </c>
      <c r="I124" s="6" t="s">
        <v>27</v>
      </c>
      <c r="J124" s="6" t="s">
        <v>569</v>
      </c>
      <c r="K124" s="6"/>
      <c r="L124" s="6"/>
      <c r="M124" s="7"/>
    </row>
    <row r="125" spans="1:13" x14ac:dyDescent="0.25">
      <c r="A125" s="6" t="s">
        <v>493</v>
      </c>
      <c r="B125" s="7" t="s">
        <v>494</v>
      </c>
      <c r="C125" s="7" t="s">
        <v>495</v>
      </c>
      <c r="D125" s="7" t="s">
        <v>496</v>
      </c>
      <c r="E125" s="8" t="s">
        <v>18</v>
      </c>
      <c r="F125" s="9"/>
      <c r="G125" s="6" t="s">
        <v>19</v>
      </c>
      <c r="H125" s="6" t="s">
        <v>20</v>
      </c>
      <c r="I125" s="6" t="s">
        <v>27</v>
      </c>
      <c r="J125" s="6" t="s">
        <v>569</v>
      </c>
      <c r="K125" s="6"/>
      <c r="L125" s="6"/>
      <c r="M125" s="7"/>
    </row>
    <row r="126" spans="1:13" ht="25.5" x14ac:dyDescent="0.25">
      <c r="A126" s="6" t="s">
        <v>497</v>
      </c>
      <c r="B126" s="7" t="s">
        <v>498</v>
      </c>
      <c r="C126" s="7" t="s">
        <v>499</v>
      </c>
      <c r="D126" s="7" t="s">
        <v>500</v>
      </c>
      <c r="E126" s="8" t="s">
        <v>18</v>
      </c>
      <c r="F126" s="9"/>
      <c r="G126" s="6" t="s">
        <v>40</v>
      </c>
      <c r="H126" s="6" t="s">
        <v>49</v>
      </c>
      <c r="I126" s="6" t="s">
        <v>27</v>
      </c>
      <c r="J126" s="6" t="s">
        <v>569</v>
      </c>
      <c r="K126" s="6"/>
      <c r="L126" s="6"/>
      <c r="M126" s="7"/>
    </row>
    <row r="127" spans="1:13" x14ac:dyDescent="0.25">
      <c r="A127" s="6" t="s">
        <v>501</v>
      </c>
      <c r="B127" s="7" t="s">
        <v>502</v>
      </c>
      <c r="C127" s="7" t="s">
        <v>503</v>
      </c>
      <c r="D127" s="7" t="s">
        <v>504</v>
      </c>
      <c r="E127" s="8" t="s">
        <v>18</v>
      </c>
      <c r="F127" s="9"/>
      <c r="G127" s="6" t="s">
        <v>77</v>
      </c>
      <c r="H127" s="6" t="s">
        <v>68</v>
      </c>
      <c r="I127" s="6" t="s">
        <v>49</v>
      </c>
      <c r="J127" s="6" t="s">
        <v>569</v>
      </c>
      <c r="K127" s="6"/>
      <c r="L127" s="6"/>
      <c r="M127" s="7"/>
    </row>
    <row r="128" spans="1:13" ht="25.5" x14ac:dyDescent="0.25">
      <c r="A128" s="6" t="s">
        <v>505</v>
      </c>
      <c r="B128" s="7" t="s">
        <v>506</v>
      </c>
      <c r="C128" s="7" t="s">
        <v>507</v>
      </c>
      <c r="D128" s="7" t="s">
        <v>508</v>
      </c>
      <c r="E128" s="8" t="s">
        <v>18</v>
      </c>
      <c r="F128" s="9"/>
      <c r="G128" s="6" t="s">
        <v>77</v>
      </c>
      <c r="H128" s="6" t="s">
        <v>20</v>
      </c>
      <c r="I128" s="6" t="s">
        <v>27</v>
      </c>
      <c r="J128" s="6" t="s">
        <v>569</v>
      </c>
      <c r="K128" s="6"/>
      <c r="L128" s="6"/>
      <c r="M128" s="7"/>
    </row>
    <row r="129" spans="1:13" ht="24.75" customHeight="1" x14ac:dyDescent="0.25">
      <c r="A129" s="4" t="s">
        <v>509</v>
      </c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</row>
    <row r="130" spans="1:13" ht="25.5" x14ac:dyDescent="0.25">
      <c r="A130" s="6" t="s">
        <v>510</v>
      </c>
      <c r="B130" s="7" t="s">
        <v>511</v>
      </c>
      <c r="C130" s="7" t="s">
        <v>512</v>
      </c>
      <c r="D130" s="7" t="s">
        <v>513</v>
      </c>
      <c r="E130" s="8" t="s">
        <v>18</v>
      </c>
      <c r="F130" s="9"/>
      <c r="G130" s="6" t="s">
        <v>82</v>
      </c>
      <c r="H130" s="6" t="s">
        <v>49</v>
      </c>
      <c r="I130" s="6" t="s">
        <v>49</v>
      </c>
      <c r="J130" s="6" t="s">
        <v>569</v>
      </c>
      <c r="K130" s="6"/>
      <c r="L130" s="6"/>
      <c r="M130" s="7"/>
    </row>
    <row r="131" spans="1:13" x14ac:dyDescent="0.25">
      <c r="A131" s="6" t="s">
        <v>514</v>
      </c>
      <c r="B131" s="7" t="s">
        <v>515</v>
      </c>
      <c r="C131" s="7" t="s">
        <v>516</v>
      </c>
      <c r="D131" s="7" t="s">
        <v>517</v>
      </c>
      <c r="E131" s="8" t="s">
        <v>18</v>
      </c>
      <c r="F131" s="9"/>
      <c r="G131" s="6" t="s">
        <v>19</v>
      </c>
      <c r="H131" s="6" t="s">
        <v>68</v>
      </c>
      <c r="I131" s="6" t="s">
        <v>49</v>
      </c>
      <c r="J131" s="6" t="s">
        <v>569</v>
      </c>
      <c r="K131" s="6"/>
      <c r="L131" s="6"/>
      <c r="M131" s="7"/>
    </row>
    <row r="132" spans="1:13" x14ac:dyDescent="0.25">
      <c r="A132" s="6" t="s">
        <v>518</v>
      </c>
      <c r="B132" s="7" t="s">
        <v>519</v>
      </c>
      <c r="C132" s="7" t="s">
        <v>520</v>
      </c>
      <c r="D132" s="7" t="s">
        <v>521</v>
      </c>
      <c r="E132" s="8" t="s">
        <v>18</v>
      </c>
      <c r="F132" s="9"/>
      <c r="G132" s="6" t="s">
        <v>82</v>
      </c>
      <c r="H132" s="6" t="s">
        <v>49</v>
      </c>
      <c r="I132" s="6" t="s">
        <v>49</v>
      </c>
      <c r="J132" s="6" t="s">
        <v>569</v>
      </c>
      <c r="K132" s="6"/>
      <c r="L132" s="6"/>
      <c r="M132" s="7"/>
    </row>
  </sheetData>
  <mergeCells count="11">
    <mergeCell ref="A129:M129"/>
    <mergeCell ref="A70:M70"/>
    <mergeCell ref="A78:M78"/>
    <mergeCell ref="A91:M91"/>
    <mergeCell ref="A102:M102"/>
    <mergeCell ref="A117:M117"/>
    <mergeCell ref="A2:M2"/>
    <mergeCell ref="A17:M17"/>
    <mergeCell ref="A32:M32"/>
    <mergeCell ref="A46:M46"/>
    <mergeCell ref="A59:M59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24"/>
  <sheetViews>
    <sheetView zoomScaleNormal="100" workbookViewId="0"/>
  </sheetViews>
  <sheetFormatPr defaultColWidth="8.7109375" defaultRowHeight="15" x14ac:dyDescent="0.25"/>
  <cols>
    <col min="1" max="1" width="36" customWidth="1"/>
    <col min="2" max="2" width="14" customWidth="1"/>
    <col min="3" max="3" width="10" customWidth="1"/>
    <col min="4" max="4" width="30" customWidth="1"/>
    <col min="5" max="6" width="12" customWidth="1"/>
    <col min="7" max="7" width="15" customWidth="1"/>
    <col min="8" max="8" width="13" customWidth="1"/>
    <col min="9" max="9" width="15" customWidth="1"/>
    <col min="10" max="10" width="12" customWidth="1"/>
  </cols>
  <sheetData>
    <row r="1" spans="1:10" ht="30" customHeight="1" x14ac:dyDescent="0.25">
      <c r="A1" s="3" t="s">
        <v>522</v>
      </c>
      <c r="B1" s="3"/>
      <c r="C1" s="3"/>
      <c r="D1" s="3"/>
      <c r="E1" s="3"/>
      <c r="F1" s="3"/>
      <c r="G1" s="3"/>
      <c r="H1" s="3"/>
      <c r="I1" s="3"/>
      <c r="J1" s="3"/>
    </row>
    <row r="3" spans="1:10" x14ac:dyDescent="0.25">
      <c r="A3" s="10" t="s">
        <v>523</v>
      </c>
      <c r="B3" s="10" t="s">
        <v>524</v>
      </c>
      <c r="D3" s="10" t="s">
        <v>525</v>
      </c>
      <c r="E3" s="10" t="s">
        <v>524</v>
      </c>
    </row>
    <row r="4" spans="1:10" ht="15.75" x14ac:dyDescent="0.25">
      <c r="A4" s="11" t="s">
        <v>526</v>
      </c>
      <c r="B4" s="12">
        <f>B21</f>
        <v>120</v>
      </c>
      <c r="D4" s="11" t="s">
        <v>18</v>
      </c>
      <c r="E4" s="12">
        <f>COUNTIF(Bang_Thiet_Ke_Ca_Kiem_Thu!E2:E132,"Chưa thực hiện")</f>
        <v>120</v>
      </c>
    </row>
    <row r="5" spans="1:10" ht="15.75" x14ac:dyDescent="0.25">
      <c r="A5" s="11" t="s">
        <v>527</v>
      </c>
      <c r="B5" s="12">
        <f>COUNTIF(Bang_Thiet_Ke_Ca_Kiem_Thu!F2:F132,"P")</f>
        <v>0</v>
      </c>
      <c r="D5" s="11" t="s">
        <v>528</v>
      </c>
      <c r="E5" s="12">
        <f>B5+B6+B7</f>
        <v>0</v>
      </c>
    </row>
    <row r="6" spans="1:10" ht="15.75" x14ac:dyDescent="0.25">
      <c r="A6" s="11" t="s">
        <v>529</v>
      </c>
      <c r="B6" s="12">
        <f>COUNTIF(Bang_Thiet_Ke_Ca_Kiem_Thu!F2:F132,"F")</f>
        <v>0</v>
      </c>
      <c r="D6" s="11" t="s">
        <v>530</v>
      </c>
      <c r="E6" s="13" t="str">
        <f>IF(B5+B6=0,"-",B5/(B5+B6))</f>
        <v>-</v>
      </c>
    </row>
    <row r="7" spans="1:10" ht="15.75" x14ac:dyDescent="0.25">
      <c r="A7" s="11" t="s">
        <v>531</v>
      </c>
      <c r="B7" s="12">
        <f>COUNTIF(Bang_Thiet_Ke_Ca_Kiem_Thu!F2:F132,"B")</f>
        <v>0</v>
      </c>
    </row>
    <row r="9" spans="1:10" ht="31.5" customHeight="1" x14ac:dyDescent="0.25">
      <c r="A9" s="14" t="s">
        <v>532</v>
      </c>
      <c r="B9" s="14" t="s">
        <v>533</v>
      </c>
      <c r="C9" s="14" t="s">
        <v>534</v>
      </c>
      <c r="D9" s="14" t="s">
        <v>535</v>
      </c>
      <c r="E9" s="14" t="s">
        <v>531</v>
      </c>
      <c r="F9" s="14" t="s">
        <v>536</v>
      </c>
      <c r="G9" s="14" t="s">
        <v>537</v>
      </c>
      <c r="H9" s="14" t="s">
        <v>538</v>
      </c>
      <c r="I9" s="14" t="s">
        <v>539</v>
      </c>
      <c r="J9" s="14" t="s">
        <v>9</v>
      </c>
    </row>
    <row r="10" spans="1:10" x14ac:dyDescent="0.25">
      <c r="A10" s="11" t="s">
        <v>540</v>
      </c>
      <c r="B10" s="15">
        <f>COUNTA(Bang_Thiet_Ke_Ca_Kiem_Thu!A3:A16)</f>
        <v>14</v>
      </c>
      <c r="C10" s="16">
        <f>COUNTIF(Bang_Thiet_Ke_Ca_Kiem_Thu!F3:F16,"P")</f>
        <v>0</v>
      </c>
      <c r="D10" s="16">
        <f>COUNTIF(Bang_Thiet_Ke_Ca_Kiem_Thu!F3:F16,"F")</f>
        <v>0</v>
      </c>
      <c r="E10" s="16">
        <f>COUNTIF(Bang_Thiet_Ke_Ca_Kiem_Thu!F3:F16,"B")</f>
        <v>0</v>
      </c>
      <c r="F10" s="17" t="str">
        <f t="shared" ref="F10:F21" si="0">IF(C10+D10=0,"-",C10/(C10+D10))</f>
        <v>-</v>
      </c>
      <c r="G10" s="16">
        <f>COUNTIF(Bang_Thiet_Ke_Ca_Kiem_Thu!I3:I16,"A")+COUNTIF(Bang_Thiet_Ke_Ca_Kiem_Thu!I3:I16,"A+M")</f>
        <v>9</v>
      </c>
      <c r="H10" s="16">
        <f>COUNTIF(Bang_Thiet_Ke_Ca_Kiem_Thu!I3:I16,"M")</f>
        <v>5</v>
      </c>
      <c r="I10" s="16">
        <f>COUNTIF(Bang_Thiet_Ke_Ca_Kiem_Thu!H3:H16,"H")</f>
        <v>7</v>
      </c>
      <c r="J10" s="16" t="s">
        <v>22</v>
      </c>
    </row>
    <row r="11" spans="1:10" x14ac:dyDescent="0.25">
      <c r="A11" s="11" t="s">
        <v>541</v>
      </c>
      <c r="B11" s="15">
        <f>COUNTA(Bang_Thiet_Ke_Ca_Kiem_Thu!A18:A31)</f>
        <v>14</v>
      </c>
      <c r="C11" s="16">
        <f>COUNTIF(Bang_Thiet_Ke_Ca_Kiem_Thu!F18:F31,"P")</f>
        <v>0</v>
      </c>
      <c r="D11" s="16">
        <f>COUNTIF(Bang_Thiet_Ke_Ca_Kiem_Thu!F18:F31,"F")</f>
        <v>0</v>
      </c>
      <c r="E11" s="16">
        <f>COUNTIF(Bang_Thiet_Ke_Ca_Kiem_Thu!F18:F31,"B")</f>
        <v>0</v>
      </c>
      <c r="F11" s="17" t="str">
        <f t="shared" si="0"/>
        <v>-</v>
      </c>
      <c r="G11" s="16">
        <f>COUNTIF(Bang_Thiet_Ke_Ca_Kiem_Thu!I18:I31,"A")+COUNTIF(Bang_Thiet_Ke_Ca_Kiem_Thu!I18:I31,"A+M")</f>
        <v>9</v>
      </c>
      <c r="H11" s="16">
        <f>COUNTIF(Bang_Thiet_Ke_Ca_Kiem_Thu!I18:I31,"M")</f>
        <v>5</v>
      </c>
      <c r="I11" s="16">
        <f>COUNTIF(Bang_Thiet_Ke_Ca_Kiem_Thu!H18:H31,"H")</f>
        <v>6</v>
      </c>
      <c r="J11" s="16" t="s">
        <v>22</v>
      </c>
    </row>
    <row r="12" spans="1:10" x14ac:dyDescent="0.25">
      <c r="A12" s="11" t="s">
        <v>542</v>
      </c>
      <c r="B12" s="15">
        <f>COUNTA(Bang_Thiet_Ke_Ca_Kiem_Thu!A33:A45)</f>
        <v>13</v>
      </c>
      <c r="C12" s="16">
        <f>COUNTIF(Bang_Thiet_Ke_Ca_Kiem_Thu!F33:F45,"P")</f>
        <v>0</v>
      </c>
      <c r="D12" s="16">
        <f>COUNTIF(Bang_Thiet_Ke_Ca_Kiem_Thu!F33:F45,"F")</f>
        <v>0</v>
      </c>
      <c r="E12" s="16">
        <f>COUNTIF(Bang_Thiet_Ke_Ca_Kiem_Thu!F33:F45,"B")</f>
        <v>0</v>
      </c>
      <c r="F12" s="17" t="str">
        <f t="shared" si="0"/>
        <v>-</v>
      </c>
      <c r="G12" s="16">
        <f>COUNTIF(Bang_Thiet_Ke_Ca_Kiem_Thu!I33:I45,"A")+COUNTIF(Bang_Thiet_Ke_Ca_Kiem_Thu!I33:I45,"A+M")</f>
        <v>12</v>
      </c>
      <c r="H12" s="16">
        <f>COUNTIF(Bang_Thiet_Ke_Ca_Kiem_Thu!I33:I45,"M")</f>
        <v>1</v>
      </c>
      <c r="I12" s="16">
        <f>COUNTIF(Bang_Thiet_Ke_Ca_Kiem_Thu!H33:H45,"H")</f>
        <v>6</v>
      </c>
      <c r="J12" s="16" t="s">
        <v>144</v>
      </c>
    </row>
    <row r="13" spans="1:10" x14ac:dyDescent="0.25">
      <c r="A13" s="11" t="s">
        <v>543</v>
      </c>
      <c r="B13" s="15">
        <f>COUNTA(Bang_Thiet_Ke_Ca_Kiem_Thu!A47:A58)</f>
        <v>12</v>
      </c>
      <c r="C13" s="16">
        <f>COUNTIF(Bang_Thiet_Ke_Ca_Kiem_Thu!F47:F58,"P")</f>
        <v>0</v>
      </c>
      <c r="D13" s="16">
        <f>COUNTIF(Bang_Thiet_Ke_Ca_Kiem_Thu!F47:F58,"F")</f>
        <v>0</v>
      </c>
      <c r="E13" s="16">
        <f>COUNTIF(Bang_Thiet_Ke_Ca_Kiem_Thu!F47:F58,"B")</f>
        <v>0</v>
      </c>
      <c r="F13" s="17" t="str">
        <f t="shared" si="0"/>
        <v>-</v>
      </c>
      <c r="G13" s="16">
        <f>COUNTIF(Bang_Thiet_Ke_Ca_Kiem_Thu!I47:I58,"A")+COUNTIF(Bang_Thiet_Ke_Ca_Kiem_Thu!I47:I58,"A+M")</f>
        <v>10</v>
      </c>
      <c r="H13" s="16">
        <f>COUNTIF(Bang_Thiet_Ke_Ca_Kiem_Thu!I47:I58,"M")</f>
        <v>2</v>
      </c>
      <c r="I13" s="16">
        <f>COUNTIF(Bang_Thiet_Ke_Ca_Kiem_Thu!H47:H58,"H")</f>
        <v>5</v>
      </c>
      <c r="J13" s="16" t="s">
        <v>144</v>
      </c>
    </row>
    <row r="14" spans="1:10" x14ac:dyDescent="0.25">
      <c r="A14" s="11" t="s">
        <v>544</v>
      </c>
      <c r="B14" s="15">
        <f>COUNTA(Bang_Thiet_Ke_Ca_Kiem_Thu!A60:A69)</f>
        <v>10</v>
      </c>
      <c r="C14" s="16">
        <f>COUNTIF(Bang_Thiet_Ke_Ca_Kiem_Thu!F60:F69,"P")</f>
        <v>0</v>
      </c>
      <c r="D14" s="16">
        <f>COUNTIF(Bang_Thiet_Ke_Ca_Kiem_Thu!F60:F69,"F")</f>
        <v>0</v>
      </c>
      <c r="E14" s="16">
        <f>COUNTIF(Bang_Thiet_Ke_Ca_Kiem_Thu!F60:F69,"B")</f>
        <v>0</v>
      </c>
      <c r="F14" s="17" t="str">
        <f t="shared" si="0"/>
        <v>-</v>
      </c>
      <c r="G14" s="16">
        <f>COUNTIF(Bang_Thiet_Ke_Ca_Kiem_Thu!I60:I69,"A")+COUNTIF(Bang_Thiet_Ke_Ca_Kiem_Thu!I60:I69,"A+M")</f>
        <v>7</v>
      </c>
      <c r="H14" s="16">
        <f>COUNTIF(Bang_Thiet_Ke_Ca_Kiem_Thu!I60:I69,"M")</f>
        <v>3</v>
      </c>
      <c r="I14" s="16">
        <f>COUNTIF(Bang_Thiet_Ke_Ca_Kiem_Thu!H60:H69,"H")</f>
        <v>6</v>
      </c>
      <c r="J14" s="16" t="s">
        <v>144</v>
      </c>
    </row>
    <row r="15" spans="1:10" x14ac:dyDescent="0.25">
      <c r="A15" s="11" t="s">
        <v>545</v>
      </c>
      <c r="B15" s="15">
        <f>COUNTA(Bang_Thiet_Ke_Ca_Kiem_Thu!A71:A77)</f>
        <v>7</v>
      </c>
      <c r="C15" s="16">
        <f>COUNTIF(Bang_Thiet_Ke_Ca_Kiem_Thu!F71:F77,"P")</f>
        <v>0</v>
      </c>
      <c r="D15" s="16">
        <f>COUNTIF(Bang_Thiet_Ke_Ca_Kiem_Thu!F71:F77,"F")</f>
        <v>0</v>
      </c>
      <c r="E15" s="16">
        <f>COUNTIF(Bang_Thiet_Ke_Ca_Kiem_Thu!F71:F77,"B")</f>
        <v>0</v>
      </c>
      <c r="F15" s="17" t="str">
        <f t="shared" si="0"/>
        <v>-</v>
      </c>
      <c r="G15" s="16">
        <f>COUNTIF(Bang_Thiet_Ke_Ca_Kiem_Thu!I71:I77,"A")+COUNTIF(Bang_Thiet_Ke_Ca_Kiem_Thu!I71:I77,"A+M")</f>
        <v>3</v>
      </c>
      <c r="H15" s="16">
        <f>COUNTIF(Bang_Thiet_Ke_Ca_Kiem_Thu!I71:I77,"M")</f>
        <v>4</v>
      </c>
      <c r="I15" s="16">
        <f>COUNTIF(Bang_Thiet_Ke_Ca_Kiem_Thu!H71:H77,"H")</f>
        <v>1</v>
      </c>
      <c r="J15" s="16" t="s">
        <v>144</v>
      </c>
    </row>
    <row r="16" spans="1:10" x14ac:dyDescent="0.25">
      <c r="A16" s="11" t="s">
        <v>546</v>
      </c>
      <c r="B16" s="15">
        <f>COUNTA(Bang_Thiet_Ke_Ca_Kiem_Thu!A79:A90)</f>
        <v>12</v>
      </c>
      <c r="C16" s="16">
        <f>COUNTIF(Bang_Thiet_Ke_Ca_Kiem_Thu!F79:F90,"P")</f>
        <v>0</v>
      </c>
      <c r="D16" s="16">
        <f>COUNTIF(Bang_Thiet_Ke_Ca_Kiem_Thu!F79:F90,"F")</f>
        <v>0</v>
      </c>
      <c r="E16" s="16">
        <f>COUNTIF(Bang_Thiet_Ke_Ca_Kiem_Thu!F79:F90,"B")</f>
        <v>0</v>
      </c>
      <c r="F16" s="17" t="str">
        <f t="shared" si="0"/>
        <v>-</v>
      </c>
      <c r="G16" s="16">
        <f>COUNTIF(Bang_Thiet_Ke_Ca_Kiem_Thu!I79:I90,"A")+COUNTIF(Bang_Thiet_Ke_Ca_Kiem_Thu!I79:I90,"A+M")</f>
        <v>10</v>
      </c>
      <c r="H16" s="16">
        <f>COUNTIF(Bang_Thiet_Ke_Ca_Kiem_Thu!I79:I90,"M")</f>
        <v>2</v>
      </c>
      <c r="I16" s="16">
        <f>COUNTIF(Bang_Thiet_Ke_Ca_Kiem_Thu!H79:H90,"H")</f>
        <v>7</v>
      </c>
      <c r="J16" s="16" t="s">
        <v>319</v>
      </c>
    </row>
    <row r="17" spans="1:10" x14ac:dyDescent="0.25">
      <c r="A17" s="11" t="s">
        <v>547</v>
      </c>
      <c r="B17" s="15">
        <f>COUNTA(Bang_Thiet_Ke_Ca_Kiem_Thu!A92:A101)</f>
        <v>10</v>
      </c>
      <c r="C17" s="16">
        <f>COUNTIF(Bang_Thiet_Ke_Ca_Kiem_Thu!F92:F101,"P")</f>
        <v>0</v>
      </c>
      <c r="D17" s="16">
        <f>COUNTIF(Bang_Thiet_Ke_Ca_Kiem_Thu!F92:F101,"F")</f>
        <v>0</v>
      </c>
      <c r="E17" s="16">
        <f>COUNTIF(Bang_Thiet_Ke_Ca_Kiem_Thu!F92:F101,"B")</f>
        <v>0</v>
      </c>
      <c r="F17" s="17" t="str">
        <f t="shared" si="0"/>
        <v>-</v>
      </c>
      <c r="G17" s="16">
        <f>COUNTIF(Bang_Thiet_Ke_Ca_Kiem_Thu!I92:I101,"A")+COUNTIF(Bang_Thiet_Ke_Ca_Kiem_Thu!I92:I101,"A+M")</f>
        <v>8</v>
      </c>
      <c r="H17" s="16">
        <f>COUNTIF(Bang_Thiet_Ke_Ca_Kiem_Thu!I92:I101,"M")</f>
        <v>2</v>
      </c>
      <c r="I17" s="16">
        <f>COUNTIF(Bang_Thiet_Ke_Ca_Kiem_Thu!H92:H101,"H")</f>
        <v>5</v>
      </c>
      <c r="J17" s="16" t="s">
        <v>319</v>
      </c>
    </row>
    <row r="18" spans="1:10" x14ac:dyDescent="0.25">
      <c r="A18" s="11" t="s">
        <v>548</v>
      </c>
      <c r="B18" s="15">
        <f>COUNTA(Bang_Thiet_Ke_Ca_Kiem_Thu!A103:A116)</f>
        <v>14</v>
      </c>
      <c r="C18" s="16">
        <f>COUNTIF(Bang_Thiet_Ke_Ca_Kiem_Thu!F103:F116,"P")</f>
        <v>0</v>
      </c>
      <c r="D18" s="16">
        <f>COUNTIF(Bang_Thiet_Ke_Ca_Kiem_Thu!F103:F116,"F")</f>
        <v>0</v>
      </c>
      <c r="E18" s="16">
        <f>COUNTIF(Bang_Thiet_Ke_Ca_Kiem_Thu!F103:F116,"B")</f>
        <v>0</v>
      </c>
      <c r="F18" s="17" t="str">
        <f t="shared" si="0"/>
        <v>-</v>
      </c>
      <c r="G18" s="16">
        <f>COUNTIF(Bang_Thiet_Ke_Ca_Kiem_Thu!I103:I116,"A")+COUNTIF(Bang_Thiet_Ke_Ca_Kiem_Thu!I103:I116,"A+M")</f>
        <v>11</v>
      </c>
      <c r="H18" s="16">
        <f>COUNTIF(Bang_Thiet_Ke_Ca_Kiem_Thu!I103:I116,"M")</f>
        <v>3</v>
      </c>
      <c r="I18" s="16">
        <f>COUNTIF(Bang_Thiet_Ke_Ca_Kiem_Thu!H103:H116,"H")</f>
        <v>8</v>
      </c>
      <c r="J18" s="16" t="s">
        <v>319</v>
      </c>
    </row>
    <row r="19" spans="1:10" x14ac:dyDescent="0.25">
      <c r="A19" s="11" t="s">
        <v>549</v>
      </c>
      <c r="B19" s="15">
        <f>COUNTA(Bang_Thiet_Ke_Ca_Kiem_Thu!A118:A128)</f>
        <v>11</v>
      </c>
      <c r="C19" s="16">
        <f>COUNTIF(Bang_Thiet_Ke_Ca_Kiem_Thu!F118:F128,"P")</f>
        <v>0</v>
      </c>
      <c r="D19" s="16">
        <f>COUNTIF(Bang_Thiet_Ke_Ca_Kiem_Thu!F118:F128,"F")</f>
        <v>0</v>
      </c>
      <c r="E19" s="16">
        <f>COUNTIF(Bang_Thiet_Ke_Ca_Kiem_Thu!F118:F128,"B")</f>
        <v>0</v>
      </c>
      <c r="F19" s="17" t="str">
        <f t="shared" si="0"/>
        <v>-</v>
      </c>
      <c r="G19" s="16">
        <f>COUNTIF(Bang_Thiet_Ke_Ca_Kiem_Thu!I118:I128,"A")+COUNTIF(Bang_Thiet_Ke_Ca_Kiem_Thu!I118:I128,"A+M")</f>
        <v>10</v>
      </c>
      <c r="H19" s="16">
        <f>COUNTIF(Bang_Thiet_Ke_Ca_Kiem_Thu!I118:I128,"M")</f>
        <v>1</v>
      </c>
      <c r="I19" s="16">
        <f>COUNTIF(Bang_Thiet_Ke_Ca_Kiem_Thu!H118:H128,"H")</f>
        <v>6</v>
      </c>
      <c r="J19" s="16" t="s">
        <v>469</v>
      </c>
    </row>
    <row r="20" spans="1:10" x14ac:dyDescent="0.25">
      <c r="A20" s="11" t="s">
        <v>550</v>
      </c>
      <c r="B20" s="15">
        <f>COUNTA(Bang_Thiet_Ke_Ca_Kiem_Thu!A130:A132)</f>
        <v>3</v>
      </c>
      <c r="C20" s="16">
        <f>COUNTIF(Bang_Thiet_Ke_Ca_Kiem_Thu!F130:F132,"P")</f>
        <v>0</v>
      </c>
      <c r="D20" s="16">
        <f>COUNTIF(Bang_Thiet_Ke_Ca_Kiem_Thu!F130:F132,"F")</f>
        <v>0</v>
      </c>
      <c r="E20" s="16">
        <f>COUNTIF(Bang_Thiet_Ke_Ca_Kiem_Thu!F130:F132,"B")</f>
        <v>0</v>
      </c>
      <c r="F20" s="17" t="str">
        <f t="shared" si="0"/>
        <v>-</v>
      </c>
      <c r="G20" s="16">
        <f>COUNTIF(Bang_Thiet_Ke_Ca_Kiem_Thu!I130:I132,"A")+COUNTIF(Bang_Thiet_Ke_Ca_Kiem_Thu!I130:I132,"A+M")</f>
        <v>0</v>
      </c>
      <c r="H20" s="16">
        <f>COUNTIF(Bang_Thiet_Ke_Ca_Kiem_Thu!I130:I132,"M")</f>
        <v>3</v>
      </c>
      <c r="I20" s="16">
        <f>COUNTIF(Bang_Thiet_Ke_Ca_Kiem_Thu!H130:H132,"H")</f>
        <v>0</v>
      </c>
      <c r="J20" s="16" t="s">
        <v>469</v>
      </c>
    </row>
    <row r="21" spans="1:10" x14ac:dyDescent="0.25">
      <c r="A21" s="18" t="s">
        <v>551</v>
      </c>
      <c r="B21" s="10">
        <f>SUM(B10:B20)</f>
        <v>120</v>
      </c>
      <c r="C21" s="10">
        <f>SUM(C10:C20)</f>
        <v>0</v>
      </c>
      <c r="D21" s="10">
        <f>SUM(D10:D20)</f>
        <v>0</v>
      </c>
      <c r="E21" s="10">
        <f>SUM(E10:E20)</f>
        <v>0</v>
      </c>
      <c r="F21" s="19" t="str">
        <f t="shared" si="0"/>
        <v>-</v>
      </c>
      <c r="G21" s="10">
        <f>SUM(G10:G20)</f>
        <v>89</v>
      </c>
      <c r="H21" s="10">
        <f>SUM(H10:H20)</f>
        <v>31</v>
      </c>
      <c r="I21" s="10">
        <f>SUM(I10:I20)</f>
        <v>57</v>
      </c>
      <c r="J21" s="10"/>
    </row>
    <row r="23" spans="1:10" ht="21.75" customHeight="1" x14ac:dyDescent="0.25">
      <c r="A23" s="2" t="s">
        <v>552</v>
      </c>
      <c r="B23" s="2"/>
      <c r="C23" s="2"/>
      <c r="D23" s="2"/>
      <c r="E23" s="2"/>
      <c r="F23" s="2"/>
      <c r="G23" s="2"/>
      <c r="H23" s="2"/>
      <c r="I23" s="2"/>
      <c r="J23" s="2"/>
    </row>
    <row r="24" spans="1:10" ht="21.75" customHeight="1" x14ac:dyDescent="0.25">
      <c r="A24" s="2"/>
      <c r="B24" s="2"/>
      <c r="C24" s="2"/>
      <c r="D24" s="2"/>
      <c r="E24" s="2"/>
      <c r="F24" s="2"/>
      <c r="G24" s="2"/>
      <c r="H24" s="2"/>
      <c r="I24" s="2"/>
      <c r="J24" s="2"/>
    </row>
  </sheetData>
  <mergeCells count="2">
    <mergeCell ref="A1:J1"/>
    <mergeCell ref="A23:J24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1"/>
  <sheetViews>
    <sheetView zoomScaleNormal="100" workbookViewId="0"/>
  </sheetViews>
  <sheetFormatPr defaultColWidth="8.7109375" defaultRowHeight="15" x14ac:dyDescent="0.25"/>
  <cols>
    <col min="1" max="1" width="22" customWidth="1"/>
    <col min="2" max="2" width="95" customWidth="1"/>
  </cols>
  <sheetData>
    <row r="1" spans="1:2" ht="25.5" customHeight="1" x14ac:dyDescent="0.25">
      <c r="A1" s="1" t="s">
        <v>553</v>
      </c>
      <c r="B1" s="1"/>
    </row>
    <row r="2" spans="1:2" ht="25.5" x14ac:dyDescent="0.25">
      <c r="A2" s="20" t="s">
        <v>5</v>
      </c>
      <c r="B2" s="21" t="s">
        <v>554</v>
      </c>
    </row>
    <row r="3" spans="1:2" x14ac:dyDescent="0.25">
      <c r="A3" s="20" t="s">
        <v>4</v>
      </c>
      <c r="B3" s="21" t="s">
        <v>555</v>
      </c>
    </row>
    <row r="4" spans="1:2" ht="25.5" x14ac:dyDescent="0.25">
      <c r="A4" s="20" t="s">
        <v>556</v>
      </c>
      <c r="B4" s="21" t="s">
        <v>557</v>
      </c>
    </row>
    <row r="5" spans="1:2" x14ac:dyDescent="0.25">
      <c r="A5" s="20" t="s">
        <v>7</v>
      </c>
      <c r="B5" s="21" t="s">
        <v>558</v>
      </c>
    </row>
    <row r="6" spans="1:2" x14ac:dyDescent="0.25">
      <c r="A6" s="20" t="s">
        <v>8</v>
      </c>
      <c r="B6" s="21" t="s">
        <v>559</v>
      </c>
    </row>
    <row r="7" spans="1:2" x14ac:dyDescent="0.25">
      <c r="A7" s="20" t="s">
        <v>560</v>
      </c>
      <c r="B7" s="21" t="s">
        <v>561</v>
      </c>
    </row>
    <row r="8" spans="1:2" ht="25.5" x14ac:dyDescent="0.25">
      <c r="A8" s="20" t="s">
        <v>2</v>
      </c>
      <c r="B8" s="21" t="s">
        <v>562</v>
      </c>
    </row>
    <row r="9" spans="1:2" ht="25.5" x14ac:dyDescent="0.25">
      <c r="A9" s="20" t="s">
        <v>563</v>
      </c>
      <c r="B9" s="21" t="s">
        <v>564</v>
      </c>
    </row>
    <row r="10" spans="1:2" x14ac:dyDescent="0.25">
      <c r="A10" s="20" t="s">
        <v>565</v>
      </c>
      <c r="B10" s="21" t="s">
        <v>566</v>
      </c>
    </row>
    <row r="11" spans="1:2" ht="25.5" x14ac:dyDescent="0.25">
      <c r="A11" s="20" t="s">
        <v>567</v>
      </c>
      <c r="B11" s="21" t="s">
        <v>568</v>
      </c>
    </row>
  </sheetData>
  <mergeCells count="1">
    <mergeCell ref="A1:B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Bang_Thiet_Ke_Ca_Kiem_Thu</vt:lpstr>
      <vt:lpstr>Tong_hop</vt:lpstr>
      <vt:lpstr>Quy_uoc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- Đào Quang Trung 2024DHTTT02 - 2024606676</cp:lastModifiedBy>
  <cp:revision>0</cp:revision>
  <dcterms:created xsi:type="dcterms:W3CDTF">2026-10-19T15:13:40Z</dcterms:created>
  <dcterms:modified xsi:type="dcterms:W3CDTF">2026-10-20T13:18:44Z</dcterms:modified>
  <dc:language>en-US</dc:language>
</cp:coreProperties>
</file>